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Munir_Data\System ltd and UIT course\Power BI Specialization\Excel Project\"/>
    </mc:Choice>
  </mc:AlternateContent>
  <xr:revisionPtr revIDLastSave="0" documentId="13_ncr:1_{D5C5ED08-A39C-4AFE-A136-56220FAD9882}" xr6:coauthVersionLast="47" xr6:coauthVersionMax="47" xr10:uidLastSave="{00000000-0000-0000-0000-000000000000}"/>
  <bookViews>
    <workbookView xWindow="-120" yWindow="-120" windowWidth="29040" windowHeight="15720" activeTab="1" xr2:uid="{D1DDAC4C-0796-406A-90B2-6F38C9627F1D}"/>
  </bookViews>
  <sheets>
    <sheet name="Sales_Data" sheetId="1" r:id="rId1"/>
    <sheet name="Pivot_Analysis" sheetId="2" r:id="rId2"/>
    <sheet name="Dashboard" sheetId="3" r:id="rId3"/>
  </sheets>
  <definedNames>
    <definedName name="Slicer_Product">#N/A</definedName>
    <definedName name="Slicer_Region">#N/A</definedName>
    <definedName name="Slicer_Salesperson">#N/A</definedName>
  </definedNames>
  <calcPr calcId="191029"/>
  <pivotCaches>
    <pivotCache cacheId="5"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17" i="2" l="1"/>
  <c r="L19" i="2"/>
  <c r="L18" i="2"/>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2" i="1"/>
</calcChain>
</file>

<file path=xl/sharedStrings.xml><?xml version="1.0" encoding="utf-8"?>
<sst xmlns="http://schemas.openxmlformats.org/spreadsheetml/2006/main" count="128" uniqueCount="28">
  <si>
    <t>Date</t>
  </si>
  <si>
    <t>Region</t>
  </si>
  <si>
    <t>Salesperson</t>
  </si>
  <si>
    <t>Product</t>
  </si>
  <si>
    <t>Karachi</t>
  </si>
  <si>
    <t>Ali</t>
  </si>
  <si>
    <t>Laptop</t>
  </si>
  <si>
    <t>Lahore</t>
  </si>
  <si>
    <t>Ahmed</t>
  </si>
  <si>
    <t>Mobile</t>
  </si>
  <si>
    <t>Sara</t>
  </si>
  <si>
    <t>Tablet</t>
  </si>
  <si>
    <t>Islamabad</t>
  </si>
  <si>
    <t>Hamza</t>
  </si>
  <si>
    <t>Quantity</t>
  </si>
  <si>
    <t>Unit Price</t>
  </si>
  <si>
    <t>Total Sales</t>
  </si>
  <si>
    <t>Row Labels</t>
  </si>
  <si>
    <t>Grand Total</t>
  </si>
  <si>
    <t>Sum of Total Sales</t>
  </si>
  <si>
    <t>Region Wise Sales</t>
  </si>
  <si>
    <t>Salesperson Performance</t>
  </si>
  <si>
    <t>Product Wise Sales</t>
  </si>
  <si>
    <t>Daily Sales Trend</t>
  </si>
  <si>
    <t>Total Quantity</t>
  </si>
  <si>
    <t>Average Sale</t>
  </si>
  <si>
    <t>KPI</t>
  </si>
  <si>
    <t>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</si>
</sst>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sz val="11"/>
      <color theme="0"/>
      <name val="Calibri"/>
      <family val="2"/>
      <scheme val="minor"/>
    </font>
    <font>
      <sz val="22"/>
      <color theme="0"/>
      <name val="Arial Rounded MT Bold"/>
      <family val="2"/>
    </font>
  </fonts>
  <fills count="8">
    <fill>
      <patternFill patternType="none"/>
    </fill>
    <fill>
      <patternFill patternType="gray125"/>
    </fill>
    <fill>
      <patternFill patternType="solid">
        <fgColor theme="4" tint="-0.499984740745262"/>
        <bgColor indexed="64"/>
      </patternFill>
    </fill>
    <fill>
      <patternFill patternType="solid">
        <fgColor theme="4"/>
        <bgColor indexed="64"/>
      </patternFill>
    </fill>
    <fill>
      <patternFill patternType="solid">
        <fgColor theme="7"/>
        <bgColor indexed="64"/>
      </patternFill>
    </fill>
    <fill>
      <patternFill patternType="solid">
        <fgColor theme="9"/>
        <bgColor indexed="64"/>
      </patternFill>
    </fill>
    <fill>
      <patternFill patternType="solid">
        <fgColor theme="3"/>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0">
    <xf numFmtId="0" fontId="0" fillId="0" borderId="0" xfId="0"/>
    <xf numFmtId="0" fontId="1" fillId="2" borderId="2" xfId="0" applyFont="1" applyFill="1" applyBorder="1"/>
    <xf numFmtId="0" fontId="1" fillId="2" borderId="3" xfId="0" applyFont="1" applyFill="1" applyBorder="1"/>
    <xf numFmtId="0" fontId="1" fillId="2" borderId="4" xfId="0" applyFont="1" applyFill="1" applyBorder="1"/>
    <xf numFmtId="14" fontId="0" fillId="0" borderId="5" xfId="0" applyNumberFormat="1" applyBorder="1"/>
    <xf numFmtId="0" fontId="0" fillId="0" borderId="1" xfId="0" applyBorder="1"/>
    <xf numFmtId="0" fontId="0" fillId="0" borderId="6" xfId="0" applyBorder="1"/>
    <xf numFmtId="14" fontId="0" fillId="0" borderId="7" xfId="0" applyNumberFormat="1"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NumberFormat="1"/>
    <xf numFmtId="0" fontId="2" fillId="3" borderId="0" xfId="0" applyFont="1" applyFill="1" applyAlignment="1">
      <alignment horizontal="center" vertical="center"/>
    </xf>
    <xf numFmtId="0" fontId="2" fillId="4" borderId="0" xfId="0" applyFont="1" applyFill="1" applyAlignment="1">
      <alignment horizontal="center" vertical="center"/>
    </xf>
    <xf numFmtId="0" fontId="2" fillId="5" borderId="0" xfId="0" applyFont="1" applyFill="1" applyAlignment="1">
      <alignment horizontal="center" vertical="center"/>
    </xf>
    <xf numFmtId="0" fontId="2" fillId="6" borderId="0" xfId="0" applyFont="1" applyFill="1" applyAlignment="1">
      <alignment horizontal="center" vertical="center"/>
    </xf>
    <xf numFmtId="14" fontId="0" fillId="0" borderId="0" xfId="0" applyNumberFormat="1" applyAlignment="1">
      <alignment horizontal="left"/>
    </xf>
    <xf numFmtId="0" fontId="3" fillId="7" borderId="0" xfId="0" applyFont="1" applyFill="1" applyAlignment="1">
      <alignment horizontal="center" vertical="center"/>
    </xf>
    <xf numFmtId="0" fontId="3" fillId="7" borderId="0" xfId="0" applyFont="1" applyFill="1" applyAlignment="1">
      <alignment vertical="center"/>
    </xf>
  </cellXfs>
  <cellStyles count="1">
    <cellStyle name="Normal" xfId="0" builtinId="0"/>
  </cellStyles>
  <dxfs count="11">
    <dxf>
      <font>
        <b/>
        <i val="0"/>
        <strike val="0"/>
        <condense val="0"/>
        <extend val="0"/>
        <outline val="0"/>
        <shadow val="0"/>
        <u val="none"/>
        <vertAlign val="baseline"/>
        <sz val="11"/>
        <color theme="0"/>
        <name val="Calibri"/>
        <family val="2"/>
        <scheme val="minor"/>
      </font>
      <fill>
        <patternFill patternType="solid">
          <fgColor indexed="64"/>
          <bgColor theme="4" tint="-0.499984740745262"/>
        </patternFill>
      </fill>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DASHBOARD.xlsx]Pivot_Analysis!Region Wise Sales</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93187312084949"/>
          <c:y val="6.3354917239521497E-2"/>
          <c:w val="0.78854006035108393"/>
          <c:h val="0.87329016552095706"/>
        </c:manualLayout>
      </c:layout>
      <c:barChart>
        <c:barDir val="bar"/>
        <c:grouping val="clustered"/>
        <c:varyColors val="0"/>
        <c:ser>
          <c:idx val="0"/>
          <c:order val="0"/>
          <c:tx>
            <c:strRef>
              <c:f>Pivot_Analysis!$B$3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Pivot_Analysis!$A$4:$A$7</c:f>
              <c:strCache>
                <c:ptCount val="3"/>
                <c:pt idx="0">
                  <c:v>Islamabad</c:v>
                </c:pt>
                <c:pt idx="1">
                  <c:v>Karachi</c:v>
                </c:pt>
                <c:pt idx="2">
                  <c:v>Lahore</c:v>
                </c:pt>
              </c:strCache>
            </c:strRef>
          </c:cat>
          <c:val>
            <c:numRef>
              <c:f>Pivot_Analysis!$B$4:$B$7</c:f>
              <c:numCache>
                <c:formatCode>General</c:formatCode>
                <c:ptCount val="3"/>
                <c:pt idx="0">
                  <c:v>1545000</c:v>
                </c:pt>
                <c:pt idx="1">
                  <c:v>1765000</c:v>
                </c:pt>
                <c:pt idx="2">
                  <c:v>1685000</c:v>
                </c:pt>
              </c:numCache>
            </c:numRef>
          </c:val>
          <c:extLst>
            <c:ext xmlns:c16="http://schemas.microsoft.com/office/drawing/2014/chart" uri="{C3380CC4-5D6E-409C-BE32-E72D297353CC}">
              <c16:uniqueId val="{00000000-A2AA-42FE-831B-1640E910BD6C}"/>
            </c:ext>
          </c:extLst>
        </c:ser>
        <c:dLbls>
          <c:showLegendKey val="0"/>
          <c:showVal val="0"/>
          <c:showCatName val="0"/>
          <c:showSerName val="0"/>
          <c:showPercent val="0"/>
          <c:showBubbleSize val="0"/>
        </c:dLbls>
        <c:gapWidth val="182"/>
        <c:axId val="1870833887"/>
        <c:axId val="1870838463"/>
      </c:barChart>
      <c:catAx>
        <c:axId val="1870833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870838463"/>
        <c:crosses val="autoZero"/>
        <c:auto val="1"/>
        <c:lblAlgn val="ctr"/>
        <c:lblOffset val="100"/>
        <c:noMultiLvlLbl val="0"/>
      </c:catAx>
      <c:valAx>
        <c:axId val="1870838463"/>
        <c:scaling>
          <c:orientation val="minMax"/>
        </c:scaling>
        <c:delete val="1"/>
        <c:axPos val="b"/>
        <c:numFmt formatCode="General" sourceLinked="1"/>
        <c:majorTickMark val="none"/>
        <c:minorTickMark val="none"/>
        <c:tickLblPos val="nextTo"/>
        <c:crossAx val="18708338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DASHBOARD.xlsx]Pivot_Analysis!Daily Sales Trend</c:name>
    <c:fmtId val="2"/>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Pivot_Analysis!$B$25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Pivot_Analysis!$A$26:$A$41</c:f>
              <c:strCache>
                <c:ptCount val="15"/>
                <c:pt idx="0">
                  <c:v>01/01/2025</c:v>
                </c:pt>
                <c:pt idx="1">
                  <c:v>02/01/2025</c:v>
                </c:pt>
                <c:pt idx="2">
                  <c:v>03/01/2025</c:v>
                </c:pt>
                <c:pt idx="3">
                  <c:v>04/01/2025</c:v>
                </c:pt>
                <c:pt idx="4">
                  <c:v>05/01/2025</c:v>
                </c:pt>
                <c:pt idx="5">
                  <c:v>06/01/2025</c:v>
                </c:pt>
                <c:pt idx="6">
                  <c:v>07/01/2025</c:v>
                </c:pt>
                <c:pt idx="7">
                  <c:v>08/01/2025</c:v>
                </c:pt>
                <c:pt idx="8">
                  <c:v>09/01/2025</c:v>
                </c:pt>
                <c:pt idx="9">
                  <c:v>10/01/2025</c:v>
                </c:pt>
                <c:pt idx="10">
                  <c:v>11/01/2025</c:v>
                </c:pt>
                <c:pt idx="11">
                  <c:v>12/01/2025</c:v>
                </c:pt>
                <c:pt idx="12">
                  <c:v>13/01/2025</c:v>
                </c:pt>
                <c:pt idx="13">
                  <c:v>14/01/2025</c:v>
                </c:pt>
                <c:pt idx="14">
                  <c:v>15/01/2025</c:v>
                </c:pt>
              </c:strCache>
            </c:strRef>
          </c:cat>
          <c:val>
            <c:numRef>
              <c:f>Pivot_Analysis!$B$26:$B$41</c:f>
              <c:numCache>
                <c:formatCode>General</c:formatCode>
                <c:ptCount val="15"/>
                <c:pt idx="0">
                  <c:v>395000</c:v>
                </c:pt>
                <c:pt idx="1">
                  <c:v>175000</c:v>
                </c:pt>
                <c:pt idx="2">
                  <c:v>240000</c:v>
                </c:pt>
                <c:pt idx="3">
                  <c:v>525000</c:v>
                </c:pt>
                <c:pt idx="4">
                  <c:v>320000</c:v>
                </c:pt>
                <c:pt idx="5">
                  <c:v>265000</c:v>
                </c:pt>
                <c:pt idx="6">
                  <c:v>375000</c:v>
                </c:pt>
                <c:pt idx="7">
                  <c:v>305000</c:v>
                </c:pt>
                <c:pt idx="8">
                  <c:v>390000</c:v>
                </c:pt>
                <c:pt idx="9">
                  <c:v>235000</c:v>
                </c:pt>
                <c:pt idx="10">
                  <c:v>435000</c:v>
                </c:pt>
                <c:pt idx="11">
                  <c:v>330000</c:v>
                </c:pt>
                <c:pt idx="12">
                  <c:v>310000</c:v>
                </c:pt>
                <c:pt idx="13">
                  <c:v>260000</c:v>
                </c:pt>
                <c:pt idx="14">
                  <c:v>435000</c:v>
                </c:pt>
              </c:numCache>
            </c:numRef>
          </c:val>
          <c:smooth val="0"/>
          <c:extLst>
            <c:ext xmlns:c16="http://schemas.microsoft.com/office/drawing/2014/chart" uri="{C3380CC4-5D6E-409C-BE32-E72D297353CC}">
              <c16:uniqueId val="{00000000-9684-4B9B-9F0E-FFE149A25846}"/>
            </c:ext>
          </c:extLst>
        </c:ser>
        <c:dLbls>
          <c:showLegendKey val="0"/>
          <c:showVal val="0"/>
          <c:showCatName val="0"/>
          <c:showSerName val="0"/>
          <c:showPercent val="0"/>
          <c:showBubbleSize val="0"/>
        </c:dLbls>
        <c:marker val="1"/>
        <c:smooth val="0"/>
        <c:axId val="47002271"/>
        <c:axId val="47000191"/>
      </c:lineChart>
      <c:catAx>
        <c:axId val="47002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47000191"/>
        <c:crosses val="autoZero"/>
        <c:auto val="1"/>
        <c:lblAlgn val="ctr"/>
        <c:lblOffset val="100"/>
        <c:noMultiLvlLbl val="0"/>
      </c:catAx>
      <c:valAx>
        <c:axId val="47000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47002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DASHBOARD.xlsx]Pivot_Analysis!Product Wise Sales</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Pivot_Analysis!$B$18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9BC-419A-ABA8-C80E8C3BB0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BC-419A-ABA8-C80E8C3BB02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9BC-419A-ABA8-C80E8C3BB02D}"/>
              </c:ext>
            </c:extLst>
          </c:dPt>
          <c:cat>
            <c:strRef>
              <c:f>Pivot_Analysis!$A$19:$A$22</c:f>
              <c:strCache>
                <c:ptCount val="3"/>
                <c:pt idx="0">
                  <c:v>Laptop</c:v>
                </c:pt>
                <c:pt idx="1">
                  <c:v>Mobile</c:v>
                </c:pt>
                <c:pt idx="2">
                  <c:v>Tablet</c:v>
                </c:pt>
              </c:strCache>
            </c:strRef>
          </c:cat>
          <c:val>
            <c:numRef>
              <c:f>Pivot_Analysis!$B$19:$B$22</c:f>
              <c:numCache>
                <c:formatCode>General</c:formatCode>
                <c:ptCount val="3"/>
                <c:pt idx="0">
                  <c:v>1785000</c:v>
                </c:pt>
                <c:pt idx="1">
                  <c:v>2430000</c:v>
                </c:pt>
                <c:pt idx="2">
                  <c:v>780000</c:v>
                </c:pt>
              </c:numCache>
            </c:numRef>
          </c:val>
          <c:extLst>
            <c:ext xmlns:c16="http://schemas.microsoft.com/office/drawing/2014/chart" uri="{C3380CC4-5D6E-409C-BE32-E72D297353CC}">
              <c16:uniqueId val="{00000006-39BC-419A-ABA8-C80E8C3BB02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DASHBOARD.xlsx]Pivot_Analysis!Salesperson Performance</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2974052779599503"/>
          <c:h val="0.83627409513426632"/>
        </c:manualLayout>
      </c:layout>
      <c:barChart>
        <c:barDir val="col"/>
        <c:grouping val="clustered"/>
        <c:varyColors val="0"/>
        <c:ser>
          <c:idx val="0"/>
          <c:order val="0"/>
          <c:tx>
            <c:strRef>
              <c:f>Pivot_Analysis!$B$10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Pivot_Analysis!$A$11:$A$15</c:f>
              <c:strCache>
                <c:ptCount val="4"/>
                <c:pt idx="0">
                  <c:v>Ahmed</c:v>
                </c:pt>
                <c:pt idx="1">
                  <c:v>Ali</c:v>
                </c:pt>
                <c:pt idx="2">
                  <c:v>Hamza</c:v>
                </c:pt>
                <c:pt idx="3">
                  <c:v>Sara</c:v>
                </c:pt>
              </c:strCache>
            </c:strRef>
          </c:cat>
          <c:val>
            <c:numRef>
              <c:f>Pivot_Analysis!$B$11:$B$15</c:f>
              <c:numCache>
                <c:formatCode>General</c:formatCode>
                <c:ptCount val="4"/>
                <c:pt idx="0">
                  <c:v>1335000</c:v>
                </c:pt>
                <c:pt idx="1">
                  <c:v>1565000</c:v>
                </c:pt>
                <c:pt idx="2">
                  <c:v>1135000</c:v>
                </c:pt>
                <c:pt idx="3">
                  <c:v>960000</c:v>
                </c:pt>
              </c:numCache>
            </c:numRef>
          </c:val>
          <c:extLst>
            <c:ext xmlns:c16="http://schemas.microsoft.com/office/drawing/2014/chart" uri="{C3380CC4-5D6E-409C-BE32-E72D297353CC}">
              <c16:uniqueId val="{00000000-3753-45FE-987F-E9B43CF57496}"/>
            </c:ext>
          </c:extLst>
        </c:ser>
        <c:dLbls>
          <c:showLegendKey val="0"/>
          <c:showVal val="0"/>
          <c:showCatName val="0"/>
          <c:showSerName val="0"/>
          <c:showPercent val="0"/>
          <c:showBubbleSize val="0"/>
        </c:dLbls>
        <c:gapWidth val="219"/>
        <c:overlap val="-27"/>
        <c:axId val="48975663"/>
        <c:axId val="48965263"/>
      </c:barChart>
      <c:catAx>
        <c:axId val="48975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48965263"/>
        <c:crosses val="autoZero"/>
        <c:auto val="1"/>
        <c:lblAlgn val="ctr"/>
        <c:lblOffset val="100"/>
        <c:noMultiLvlLbl val="0"/>
      </c:catAx>
      <c:valAx>
        <c:axId val="48965263"/>
        <c:scaling>
          <c:orientation val="minMax"/>
        </c:scaling>
        <c:delete val="1"/>
        <c:axPos val="l"/>
        <c:numFmt formatCode="General" sourceLinked="1"/>
        <c:majorTickMark val="none"/>
        <c:minorTickMark val="none"/>
        <c:tickLblPos val="nextTo"/>
        <c:crossAx val="48975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4</xdr:col>
      <xdr:colOff>19050</xdr:colOff>
      <xdr:row>3</xdr:row>
      <xdr:rowOff>95250</xdr:rowOff>
    </xdr:from>
    <xdr:to>
      <xdr:col>9</xdr:col>
      <xdr:colOff>190500</xdr:colOff>
      <xdr:row>9</xdr:row>
      <xdr:rowOff>85725</xdr:rowOff>
    </xdr:to>
    <xdr:sp macro="" textlink="Pivot_Analysis!L17">
      <xdr:nvSpPr>
        <xdr:cNvPr id="2" name="Rectangle: Rounded Corners 1">
          <a:extLst>
            <a:ext uri="{FF2B5EF4-FFF2-40B4-BE49-F238E27FC236}">
              <a16:creationId xmlns:a16="http://schemas.microsoft.com/office/drawing/2014/main" id="{A9DD52EE-0196-41ED-9E0A-689EB27D7E77}"/>
            </a:ext>
          </a:extLst>
        </xdr:cNvPr>
        <xdr:cNvSpPr/>
      </xdr:nvSpPr>
      <xdr:spPr>
        <a:xfrm>
          <a:off x="2486025" y="666750"/>
          <a:ext cx="3219450" cy="1133475"/>
        </a:xfrm>
        <a:prstGeom prst="roundRect">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0" u="none" strike="noStrike">
              <a:solidFill>
                <a:schemeClr val="bg1"/>
              </a:solidFill>
              <a:latin typeface="Arial Rounded MT Bold" panose="020F0704030504030204" pitchFamily="34" charset="0"/>
              <a:ea typeface="Calibri"/>
              <a:cs typeface="Calibri"/>
            </a:rPr>
            <a:t>Total</a:t>
          </a:r>
          <a:r>
            <a:rPr lang="en-US" sz="1600" b="1" i="0" u="none" strike="noStrike" baseline="0">
              <a:solidFill>
                <a:schemeClr val="bg1"/>
              </a:solidFill>
              <a:latin typeface="Arial Rounded MT Bold" panose="020F0704030504030204" pitchFamily="34" charset="0"/>
              <a:ea typeface="Calibri"/>
              <a:cs typeface="Calibri"/>
            </a:rPr>
            <a:t> Sales</a:t>
          </a:r>
          <a:br>
            <a:rPr lang="en-US" sz="1600" b="1" i="0" u="none" strike="noStrike" baseline="0">
              <a:solidFill>
                <a:schemeClr val="bg1"/>
              </a:solidFill>
              <a:latin typeface="Arial Rounded MT Bold" panose="020F0704030504030204" pitchFamily="34" charset="0"/>
              <a:ea typeface="Calibri"/>
              <a:cs typeface="Calibri"/>
            </a:rPr>
          </a:br>
          <a:br>
            <a:rPr lang="en-US" sz="1100" b="1" i="0" u="none" strike="noStrike">
              <a:solidFill>
                <a:schemeClr val="bg1"/>
              </a:solidFill>
              <a:latin typeface="Arial Rounded MT Bold" panose="020F0704030504030204" pitchFamily="34" charset="0"/>
              <a:ea typeface="Calibri"/>
              <a:cs typeface="Calibri"/>
            </a:rPr>
          </a:br>
          <a:br>
            <a:rPr lang="en-US" sz="1100" b="1" i="0" u="none" strike="noStrike">
              <a:solidFill>
                <a:schemeClr val="bg1"/>
              </a:solidFill>
              <a:latin typeface="Arial Rounded MT Bold" panose="020F0704030504030204" pitchFamily="34" charset="0"/>
              <a:ea typeface="Calibri"/>
              <a:cs typeface="Calibri"/>
            </a:rPr>
          </a:br>
          <a:fld id="{7898EE90-F454-46E7-818A-C7D7D53BB97E}" type="TxLink">
            <a:rPr lang="en-US" sz="2000" b="1" i="0" u="none" strike="noStrike">
              <a:solidFill>
                <a:schemeClr val="bg1"/>
              </a:solidFill>
              <a:latin typeface="Arial Rounded MT Bold" panose="020F0704030504030204" pitchFamily="34" charset="0"/>
              <a:ea typeface="Calibri"/>
              <a:cs typeface="Calibri"/>
            </a:rPr>
            <a:t>4995000</a:t>
          </a:fld>
          <a:endParaRPr lang="en-PK" sz="2000" b="1">
            <a:solidFill>
              <a:schemeClr val="bg1"/>
            </a:solidFill>
            <a:latin typeface="Arial Rounded MT Bold" panose="020F0704030504030204" pitchFamily="34" charset="0"/>
          </a:endParaRPr>
        </a:p>
      </xdr:txBody>
    </xdr:sp>
    <xdr:clientData/>
  </xdr:twoCellAnchor>
  <xdr:twoCellAnchor>
    <xdr:from>
      <xdr:col>9</xdr:col>
      <xdr:colOff>542925</xdr:colOff>
      <xdr:row>3</xdr:row>
      <xdr:rowOff>114300</xdr:rowOff>
    </xdr:from>
    <xdr:to>
      <xdr:col>14</xdr:col>
      <xdr:colOff>361950</xdr:colOff>
      <xdr:row>9</xdr:row>
      <xdr:rowOff>104775</xdr:rowOff>
    </xdr:to>
    <xdr:sp macro="" textlink="Pivot_Analysis!L18">
      <xdr:nvSpPr>
        <xdr:cNvPr id="3" name="Rectangle: Rounded Corners 2">
          <a:extLst>
            <a:ext uri="{FF2B5EF4-FFF2-40B4-BE49-F238E27FC236}">
              <a16:creationId xmlns:a16="http://schemas.microsoft.com/office/drawing/2014/main" id="{892624DA-42EA-4911-9C6E-520B89D78529}"/>
            </a:ext>
          </a:extLst>
        </xdr:cNvPr>
        <xdr:cNvSpPr/>
      </xdr:nvSpPr>
      <xdr:spPr>
        <a:xfrm>
          <a:off x="6057900" y="685800"/>
          <a:ext cx="2867025" cy="1133475"/>
        </a:xfrm>
        <a:prstGeom prst="roundRect">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0" u="none" strike="noStrike">
              <a:solidFill>
                <a:schemeClr val="bg1"/>
              </a:solidFill>
              <a:latin typeface="Arial Rounded MT Bold" panose="020F0704030504030204" pitchFamily="34" charset="0"/>
              <a:ea typeface="Calibri"/>
              <a:cs typeface="Calibri"/>
            </a:rPr>
            <a:t>Total Quantity</a:t>
          </a:r>
          <a:br>
            <a:rPr lang="en-US" sz="2000" b="1" i="0" u="none" strike="noStrike">
              <a:solidFill>
                <a:schemeClr val="bg1"/>
              </a:solidFill>
              <a:latin typeface="Arial Rounded MT Bold" panose="020F0704030504030204" pitchFamily="34" charset="0"/>
              <a:ea typeface="Calibri"/>
              <a:cs typeface="Calibri"/>
            </a:rPr>
          </a:br>
          <a:br>
            <a:rPr lang="en-US" sz="2000" b="1" i="0" u="none" strike="noStrike">
              <a:solidFill>
                <a:schemeClr val="bg1"/>
              </a:solidFill>
              <a:latin typeface="Arial Rounded MT Bold" panose="020F0704030504030204" pitchFamily="34" charset="0"/>
              <a:ea typeface="Calibri"/>
              <a:cs typeface="Calibri"/>
            </a:rPr>
          </a:br>
          <a:fld id="{F6CA343E-18F4-4570-800B-F3AF2577ADF8}" type="TxLink">
            <a:rPr lang="en-US" sz="2000" b="1" i="0" u="none" strike="noStrike">
              <a:solidFill>
                <a:schemeClr val="bg1"/>
              </a:solidFill>
              <a:latin typeface="Arial Rounded MT Bold" panose="020F0704030504030204" pitchFamily="34" charset="0"/>
              <a:ea typeface="Calibri"/>
              <a:cs typeface="Calibri"/>
            </a:rPr>
            <a:t>101</a:t>
          </a:fld>
          <a:endParaRPr lang="en-PK" sz="2000" b="1">
            <a:solidFill>
              <a:schemeClr val="bg1"/>
            </a:solidFill>
            <a:latin typeface="Arial Rounded MT Bold" panose="020F0704030504030204" pitchFamily="34" charset="0"/>
          </a:endParaRPr>
        </a:p>
      </xdr:txBody>
    </xdr:sp>
    <xdr:clientData/>
  </xdr:twoCellAnchor>
  <xdr:twoCellAnchor>
    <xdr:from>
      <xdr:col>15</xdr:col>
      <xdr:colOff>152400</xdr:colOff>
      <xdr:row>3</xdr:row>
      <xdr:rowOff>66675</xdr:rowOff>
    </xdr:from>
    <xdr:to>
      <xdr:col>20</xdr:col>
      <xdr:colOff>38100</xdr:colOff>
      <xdr:row>9</xdr:row>
      <xdr:rowOff>57150</xdr:rowOff>
    </xdr:to>
    <xdr:sp macro="" textlink="Pivot_Analysis!L19">
      <xdr:nvSpPr>
        <xdr:cNvPr id="4" name="Rectangle: Rounded Corners 3">
          <a:extLst>
            <a:ext uri="{FF2B5EF4-FFF2-40B4-BE49-F238E27FC236}">
              <a16:creationId xmlns:a16="http://schemas.microsoft.com/office/drawing/2014/main" id="{BF7B0105-DCF6-43DD-AC41-08A4547E3579}"/>
            </a:ext>
          </a:extLst>
        </xdr:cNvPr>
        <xdr:cNvSpPr/>
      </xdr:nvSpPr>
      <xdr:spPr>
        <a:xfrm>
          <a:off x="9324975" y="638175"/>
          <a:ext cx="2933700" cy="1133475"/>
        </a:xfrm>
        <a:prstGeom prst="roundRect">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0" u="none" strike="noStrike">
              <a:solidFill>
                <a:schemeClr val="bg1"/>
              </a:solidFill>
              <a:latin typeface="Arial Rounded MT Bold" panose="020F0704030504030204" pitchFamily="34" charset="0"/>
              <a:ea typeface="Calibri"/>
              <a:cs typeface="Calibri"/>
            </a:rPr>
            <a:t>Average Sale</a:t>
          </a:r>
          <a:br>
            <a:rPr lang="en-US" sz="1100" b="0" i="0" u="none" strike="noStrike">
              <a:solidFill>
                <a:srgbClr val="000000"/>
              </a:solidFill>
              <a:latin typeface="Arial Rounded MT Bold" panose="020F0704030504030204" pitchFamily="34" charset="0"/>
              <a:ea typeface="Calibri"/>
              <a:cs typeface="Calibri"/>
            </a:rPr>
          </a:br>
          <a:endParaRPr lang="en-US" sz="1100" b="0" i="0" u="none" strike="noStrike">
            <a:solidFill>
              <a:srgbClr val="000000"/>
            </a:solidFill>
            <a:latin typeface="Arial Rounded MT Bold" panose="020F0704030504030204" pitchFamily="34" charset="0"/>
            <a:ea typeface="Calibri"/>
            <a:cs typeface="Calibri"/>
          </a:endParaRPr>
        </a:p>
        <a:p>
          <a:pPr algn="ctr"/>
          <a:endParaRPr lang="en-US" sz="1100" b="0" i="0" u="none" strike="noStrike">
            <a:solidFill>
              <a:srgbClr val="000000"/>
            </a:solidFill>
            <a:latin typeface="Arial Rounded MT Bold" panose="020F0704030504030204" pitchFamily="34" charset="0"/>
            <a:ea typeface="Calibri"/>
            <a:cs typeface="Calibri"/>
          </a:endParaRPr>
        </a:p>
        <a:p>
          <a:pPr algn="ctr"/>
          <a:fld id="{B6E70696-6BD2-4A00-9EE3-D6D952FD13FD}" type="TxLink">
            <a:rPr lang="en-US" sz="2000" b="1" i="0" u="none" strike="noStrike">
              <a:solidFill>
                <a:schemeClr val="bg1"/>
              </a:solidFill>
              <a:latin typeface="Arial Rounded MT Bold" panose="020F0704030504030204" pitchFamily="34" charset="0"/>
              <a:ea typeface="Calibri"/>
              <a:cs typeface="Calibri"/>
            </a:rPr>
            <a:t>166500</a:t>
          </a:fld>
          <a:endParaRPr lang="en-PK" sz="2000" b="1">
            <a:solidFill>
              <a:schemeClr val="bg1"/>
            </a:solidFill>
            <a:latin typeface="Arial Rounded MT Bold" panose="020F0704030504030204" pitchFamily="34" charset="0"/>
          </a:endParaRPr>
        </a:p>
      </xdr:txBody>
    </xdr:sp>
    <xdr:clientData/>
  </xdr:twoCellAnchor>
  <xdr:twoCellAnchor>
    <xdr:from>
      <xdr:col>4</xdr:col>
      <xdr:colOff>0</xdr:colOff>
      <xdr:row>9</xdr:row>
      <xdr:rowOff>180975</xdr:rowOff>
    </xdr:from>
    <xdr:to>
      <xdr:col>11</xdr:col>
      <xdr:colOff>419100</xdr:colOff>
      <xdr:row>22</xdr:row>
      <xdr:rowOff>133350</xdr:rowOff>
    </xdr:to>
    <xdr:sp macro="" textlink="">
      <xdr:nvSpPr>
        <xdr:cNvPr id="6" name="Rectangle: Rounded Corners 5">
          <a:extLst>
            <a:ext uri="{FF2B5EF4-FFF2-40B4-BE49-F238E27FC236}">
              <a16:creationId xmlns:a16="http://schemas.microsoft.com/office/drawing/2014/main" id="{2EF60F2C-86D1-48E1-9EA7-63D3B0C269DC}"/>
            </a:ext>
          </a:extLst>
        </xdr:cNvPr>
        <xdr:cNvSpPr/>
      </xdr:nvSpPr>
      <xdr:spPr>
        <a:xfrm>
          <a:off x="2466975" y="1895475"/>
          <a:ext cx="4686300" cy="2428875"/>
        </a:xfrm>
        <a:prstGeom prst="round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latin typeface="Arial Rounded MT Bold" panose="020F0704030504030204" pitchFamily="34" charset="0"/>
            </a:rPr>
            <a:t>Region Wise Sales</a:t>
          </a:r>
          <a:endParaRPr lang="en-PK" sz="1600" b="1">
            <a:latin typeface="Arial Rounded MT Bold" panose="020F0704030504030204" pitchFamily="34" charset="0"/>
          </a:endParaRPr>
        </a:p>
      </xdr:txBody>
    </xdr:sp>
    <xdr:clientData/>
  </xdr:twoCellAnchor>
  <xdr:twoCellAnchor>
    <xdr:from>
      <xdr:col>4</xdr:col>
      <xdr:colOff>161926</xdr:colOff>
      <xdr:row>12</xdr:row>
      <xdr:rowOff>142876</xdr:rowOff>
    </xdr:from>
    <xdr:to>
      <xdr:col>11</xdr:col>
      <xdr:colOff>247650</xdr:colOff>
      <xdr:row>21</xdr:row>
      <xdr:rowOff>104776</xdr:rowOff>
    </xdr:to>
    <xdr:graphicFrame macro="">
      <xdr:nvGraphicFramePr>
        <xdr:cNvPr id="7" name="Chart 6">
          <a:extLst>
            <a:ext uri="{FF2B5EF4-FFF2-40B4-BE49-F238E27FC236}">
              <a16:creationId xmlns:a16="http://schemas.microsoft.com/office/drawing/2014/main" id="{E9A7006E-A78D-42D8-9D9D-BE81BB8EEE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xdr:colOff>
      <xdr:row>23</xdr:row>
      <xdr:rowOff>95250</xdr:rowOff>
    </xdr:from>
    <xdr:to>
      <xdr:col>20</xdr:col>
      <xdr:colOff>0</xdr:colOff>
      <xdr:row>36</xdr:row>
      <xdr:rowOff>171450</xdr:rowOff>
    </xdr:to>
    <xdr:sp macro="" textlink="">
      <xdr:nvSpPr>
        <xdr:cNvPr id="8" name="Rectangle: Rounded Corners 7">
          <a:extLst>
            <a:ext uri="{FF2B5EF4-FFF2-40B4-BE49-F238E27FC236}">
              <a16:creationId xmlns:a16="http://schemas.microsoft.com/office/drawing/2014/main" id="{ACB074F8-8AD7-417C-B926-458E49AB11FA}"/>
            </a:ext>
          </a:extLst>
        </xdr:cNvPr>
        <xdr:cNvSpPr/>
      </xdr:nvSpPr>
      <xdr:spPr>
        <a:xfrm>
          <a:off x="7343776" y="4476750"/>
          <a:ext cx="4876799" cy="2552700"/>
        </a:xfrm>
        <a:prstGeom prst="round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latin typeface="Arial Rounded MT Bold" panose="020F0704030504030204" pitchFamily="34" charset="0"/>
            </a:rPr>
            <a:t>Sales</a:t>
          </a:r>
          <a:r>
            <a:rPr lang="en-US" sz="1600" b="1" baseline="0">
              <a:latin typeface="Arial Rounded MT Bold" panose="020F0704030504030204" pitchFamily="34" charset="0"/>
            </a:rPr>
            <a:t> Trends</a:t>
          </a:r>
          <a:endParaRPr lang="en-PK" sz="1600" b="1">
            <a:latin typeface="Arial Rounded MT Bold" panose="020F0704030504030204" pitchFamily="34" charset="0"/>
          </a:endParaRPr>
        </a:p>
      </xdr:txBody>
    </xdr:sp>
    <xdr:clientData/>
  </xdr:twoCellAnchor>
  <xdr:twoCellAnchor>
    <xdr:from>
      <xdr:col>12</xdr:col>
      <xdr:colOff>333375</xdr:colOff>
      <xdr:row>26</xdr:row>
      <xdr:rowOff>47624</xdr:rowOff>
    </xdr:from>
    <xdr:to>
      <xdr:col>19</xdr:col>
      <xdr:colOff>304800</xdr:colOff>
      <xdr:row>35</xdr:row>
      <xdr:rowOff>95250</xdr:rowOff>
    </xdr:to>
    <xdr:graphicFrame macro="">
      <xdr:nvGraphicFramePr>
        <xdr:cNvPr id="9" name="Chart 8">
          <a:extLst>
            <a:ext uri="{FF2B5EF4-FFF2-40B4-BE49-F238E27FC236}">
              <a16:creationId xmlns:a16="http://schemas.microsoft.com/office/drawing/2014/main" id="{562C5423-8156-46C1-ABAC-8F6268BEE0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9525</xdr:colOff>
      <xdr:row>23</xdr:row>
      <xdr:rowOff>66675</xdr:rowOff>
    </xdr:from>
    <xdr:to>
      <xdr:col>11</xdr:col>
      <xdr:colOff>400050</xdr:colOff>
      <xdr:row>36</xdr:row>
      <xdr:rowOff>180975</xdr:rowOff>
    </xdr:to>
    <xdr:sp macro="" textlink="">
      <xdr:nvSpPr>
        <xdr:cNvPr id="10" name="Rectangle: Rounded Corners 9">
          <a:extLst>
            <a:ext uri="{FF2B5EF4-FFF2-40B4-BE49-F238E27FC236}">
              <a16:creationId xmlns:a16="http://schemas.microsoft.com/office/drawing/2014/main" id="{FAA9E88B-DA56-4CC0-A63D-607CE954A3A3}"/>
            </a:ext>
          </a:extLst>
        </xdr:cNvPr>
        <xdr:cNvSpPr/>
      </xdr:nvSpPr>
      <xdr:spPr>
        <a:xfrm>
          <a:off x="2476500" y="4448175"/>
          <a:ext cx="4657725" cy="2590800"/>
        </a:xfrm>
        <a:prstGeom prst="round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latin typeface="Arial Rounded MT Bold" panose="020F0704030504030204" pitchFamily="34" charset="0"/>
            </a:rPr>
            <a:t>Product Wise Sales</a:t>
          </a:r>
          <a:endParaRPr lang="en-PK" sz="1600" b="1">
            <a:latin typeface="Arial Rounded MT Bold" panose="020F0704030504030204" pitchFamily="34" charset="0"/>
          </a:endParaRPr>
        </a:p>
      </xdr:txBody>
    </xdr:sp>
    <xdr:clientData/>
  </xdr:twoCellAnchor>
  <xdr:twoCellAnchor>
    <xdr:from>
      <xdr:col>4</xdr:col>
      <xdr:colOff>209551</xdr:colOff>
      <xdr:row>26</xdr:row>
      <xdr:rowOff>28575</xdr:rowOff>
    </xdr:from>
    <xdr:to>
      <xdr:col>11</xdr:col>
      <xdr:colOff>142875</xdr:colOff>
      <xdr:row>35</xdr:row>
      <xdr:rowOff>95250</xdr:rowOff>
    </xdr:to>
    <xdr:graphicFrame macro="">
      <xdr:nvGraphicFramePr>
        <xdr:cNvPr id="11" name="Chart 10">
          <a:extLst>
            <a:ext uri="{FF2B5EF4-FFF2-40B4-BE49-F238E27FC236}">
              <a16:creationId xmlns:a16="http://schemas.microsoft.com/office/drawing/2014/main" id="{0D75AC9A-5699-4C69-94E7-EA25E84EDF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219074</xdr:colOff>
      <xdr:row>3</xdr:row>
      <xdr:rowOff>152400</xdr:rowOff>
    </xdr:from>
    <xdr:to>
      <xdr:col>24</xdr:col>
      <xdr:colOff>171450</xdr:colOff>
      <xdr:row>9</xdr:row>
      <xdr:rowOff>47625</xdr:rowOff>
    </xdr:to>
    <mc:AlternateContent xmlns:mc="http://schemas.openxmlformats.org/markup-compatibility/2006">
      <mc:Choice xmlns:a14="http://schemas.microsoft.com/office/drawing/2010/main" Requires="a14">
        <xdr:graphicFrame macro="">
          <xdr:nvGraphicFramePr>
            <xdr:cNvPr id="12" name="Region 1">
              <a:extLst>
                <a:ext uri="{FF2B5EF4-FFF2-40B4-BE49-F238E27FC236}">
                  <a16:creationId xmlns:a16="http://schemas.microsoft.com/office/drawing/2014/main" id="{E38F280F-B94B-458C-B96F-0E98B6FBEE5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2439649" y="723900"/>
              <a:ext cx="2390776" cy="103822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19050</xdr:colOff>
      <xdr:row>10</xdr:row>
      <xdr:rowOff>19049</xdr:rowOff>
    </xdr:from>
    <xdr:to>
      <xdr:col>20</xdr:col>
      <xdr:colOff>19050</xdr:colOff>
      <xdr:row>22</xdr:row>
      <xdr:rowOff>142874</xdr:rowOff>
    </xdr:to>
    <xdr:sp macro="" textlink="">
      <xdr:nvSpPr>
        <xdr:cNvPr id="13" name="Rectangle: Rounded Corners 12">
          <a:extLst>
            <a:ext uri="{FF2B5EF4-FFF2-40B4-BE49-F238E27FC236}">
              <a16:creationId xmlns:a16="http://schemas.microsoft.com/office/drawing/2014/main" id="{F9E74ECA-DBF7-415D-82C0-45E0040D69B5}"/>
            </a:ext>
          </a:extLst>
        </xdr:cNvPr>
        <xdr:cNvSpPr/>
      </xdr:nvSpPr>
      <xdr:spPr>
        <a:xfrm>
          <a:off x="7362825" y="1924049"/>
          <a:ext cx="4876800" cy="2409825"/>
        </a:xfrm>
        <a:prstGeom prst="round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latin typeface="Arial Rounded MT Bold" panose="020F0704030504030204" pitchFamily="34" charset="0"/>
            </a:rPr>
            <a:t>Salesperson Performance</a:t>
          </a:r>
          <a:endParaRPr lang="en-PK" sz="1100" b="1">
            <a:latin typeface="Arial Rounded MT Bold" panose="020F0704030504030204" pitchFamily="34" charset="0"/>
          </a:endParaRPr>
        </a:p>
      </xdr:txBody>
    </xdr:sp>
    <xdr:clientData/>
  </xdr:twoCellAnchor>
  <xdr:twoCellAnchor>
    <xdr:from>
      <xdr:col>12</xdr:col>
      <xdr:colOff>228600</xdr:colOff>
      <xdr:row>12</xdr:row>
      <xdr:rowOff>161924</xdr:rowOff>
    </xdr:from>
    <xdr:to>
      <xdr:col>19</xdr:col>
      <xdr:colOff>476250</xdr:colOff>
      <xdr:row>21</xdr:row>
      <xdr:rowOff>152400</xdr:rowOff>
    </xdr:to>
    <xdr:graphicFrame macro="">
      <xdr:nvGraphicFramePr>
        <xdr:cNvPr id="14" name="Chart 13">
          <a:extLst>
            <a:ext uri="{FF2B5EF4-FFF2-40B4-BE49-F238E27FC236}">
              <a16:creationId xmlns:a16="http://schemas.microsoft.com/office/drawing/2014/main" id="{1CF90C67-1933-4D3D-B234-22A21FF229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19050</xdr:colOff>
      <xdr:row>0</xdr:row>
      <xdr:rowOff>66675</xdr:rowOff>
    </xdr:from>
    <xdr:to>
      <xdr:col>24</xdr:col>
      <xdr:colOff>200025</xdr:colOff>
      <xdr:row>3</xdr:row>
      <xdr:rowOff>19050</xdr:rowOff>
    </xdr:to>
    <xdr:sp macro="" textlink="">
      <xdr:nvSpPr>
        <xdr:cNvPr id="15" name="Rectangle: Rounded Corners 14">
          <a:extLst>
            <a:ext uri="{FF2B5EF4-FFF2-40B4-BE49-F238E27FC236}">
              <a16:creationId xmlns:a16="http://schemas.microsoft.com/office/drawing/2014/main" id="{B9290E18-882A-451F-9CE2-0589FB04C864}"/>
            </a:ext>
          </a:extLst>
        </xdr:cNvPr>
        <xdr:cNvSpPr/>
      </xdr:nvSpPr>
      <xdr:spPr>
        <a:xfrm>
          <a:off x="2486025" y="66675"/>
          <a:ext cx="12372975" cy="523875"/>
        </a:xfrm>
        <a:prstGeom prst="round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t>Sale Performance Dashboard</a:t>
          </a:r>
          <a:endParaRPr lang="en-PK" sz="2400" b="1"/>
        </a:p>
      </xdr:txBody>
    </xdr:sp>
    <xdr:clientData/>
  </xdr:twoCellAnchor>
  <xdr:twoCellAnchor editAs="oneCell">
    <xdr:from>
      <xdr:col>20</xdr:col>
      <xdr:colOff>190500</xdr:colOff>
      <xdr:row>10</xdr:row>
      <xdr:rowOff>57150</xdr:rowOff>
    </xdr:from>
    <xdr:to>
      <xdr:col>24</xdr:col>
      <xdr:colOff>209550</xdr:colOff>
      <xdr:row>22</xdr:row>
      <xdr:rowOff>66675</xdr:rowOff>
    </xdr:to>
    <mc:AlternateContent xmlns:mc="http://schemas.openxmlformats.org/markup-compatibility/2006">
      <mc:Choice xmlns:a14="http://schemas.microsoft.com/office/drawing/2010/main" Requires="a14">
        <xdr:graphicFrame macro="">
          <xdr:nvGraphicFramePr>
            <xdr:cNvPr id="17" name="Salesperson 1">
              <a:extLst>
                <a:ext uri="{FF2B5EF4-FFF2-40B4-BE49-F238E27FC236}">
                  <a16:creationId xmlns:a16="http://schemas.microsoft.com/office/drawing/2014/main" id="{528E4CCB-B710-4921-B866-B5E18DD7BCE1}"/>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dr:sp macro="" textlink="">
          <xdr:nvSpPr>
            <xdr:cNvPr id="0" name=""/>
            <xdr:cNvSpPr>
              <a:spLocks noTextEdit="1"/>
            </xdr:cNvSpPr>
          </xdr:nvSpPr>
          <xdr:spPr>
            <a:xfrm>
              <a:off x="12411075" y="1962150"/>
              <a:ext cx="2457450" cy="229552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238125</xdr:colOff>
      <xdr:row>23</xdr:row>
      <xdr:rowOff>171450</xdr:rowOff>
    </xdr:from>
    <xdr:to>
      <xdr:col>24</xdr:col>
      <xdr:colOff>161925</xdr:colOff>
      <xdr:row>36</xdr:row>
      <xdr:rowOff>142875</xdr:rowOff>
    </xdr:to>
    <mc:AlternateContent xmlns:mc="http://schemas.openxmlformats.org/markup-compatibility/2006">
      <mc:Choice xmlns:a14="http://schemas.microsoft.com/office/drawing/2010/main" Requires="a14">
        <xdr:graphicFrame macro="">
          <xdr:nvGraphicFramePr>
            <xdr:cNvPr id="18" name="Product 1">
              <a:extLst>
                <a:ext uri="{FF2B5EF4-FFF2-40B4-BE49-F238E27FC236}">
                  <a16:creationId xmlns:a16="http://schemas.microsoft.com/office/drawing/2014/main" id="{3B14D877-9308-4065-839B-C0E1988CF818}"/>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2458700" y="4552950"/>
              <a:ext cx="2362200" cy="244792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123825</xdr:colOff>
      <xdr:row>4</xdr:row>
      <xdr:rowOff>66675</xdr:rowOff>
    </xdr:from>
    <xdr:to>
      <xdr:col>5</xdr:col>
      <xdr:colOff>342900</xdr:colOff>
      <xdr:row>8</xdr:row>
      <xdr:rowOff>152400</xdr:rowOff>
    </xdr:to>
    <xdr:pic>
      <xdr:nvPicPr>
        <xdr:cNvPr id="20" name="Graphic 19" descr="Bar graph with upward trend with solid fill">
          <a:extLst>
            <a:ext uri="{FF2B5EF4-FFF2-40B4-BE49-F238E27FC236}">
              <a16:creationId xmlns:a16="http://schemas.microsoft.com/office/drawing/2014/main" id="{97280B3E-B16E-4B3A-B2D5-552B97AA5461}"/>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590800" y="828675"/>
          <a:ext cx="828675" cy="847725"/>
        </a:xfrm>
        <a:prstGeom prst="rect">
          <a:avLst/>
        </a:prstGeom>
      </xdr:spPr>
    </xdr:pic>
    <xdr:clientData/>
  </xdr:twoCellAnchor>
  <xdr:twoCellAnchor editAs="oneCell">
    <xdr:from>
      <xdr:col>9</xdr:col>
      <xdr:colOff>466725</xdr:colOff>
      <xdr:row>4</xdr:row>
      <xdr:rowOff>28575</xdr:rowOff>
    </xdr:from>
    <xdr:to>
      <xdr:col>11</xdr:col>
      <xdr:colOff>123825</xdr:colOff>
      <xdr:row>8</xdr:row>
      <xdr:rowOff>142875</xdr:rowOff>
    </xdr:to>
    <xdr:pic>
      <xdr:nvPicPr>
        <xdr:cNvPr id="22" name="Graphic 21" descr="Database with solid fill">
          <a:extLst>
            <a:ext uri="{FF2B5EF4-FFF2-40B4-BE49-F238E27FC236}">
              <a16:creationId xmlns:a16="http://schemas.microsoft.com/office/drawing/2014/main" id="{F74F2288-871A-4618-9A73-17419DF928FF}"/>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5981700" y="790575"/>
          <a:ext cx="876300" cy="876300"/>
        </a:xfrm>
        <a:prstGeom prst="rect">
          <a:avLst/>
        </a:prstGeom>
      </xdr:spPr>
    </xdr:pic>
    <xdr:clientData/>
  </xdr:twoCellAnchor>
  <xdr:twoCellAnchor editAs="oneCell">
    <xdr:from>
      <xdr:col>15</xdr:col>
      <xdr:colOff>152399</xdr:colOff>
      <xdr:row>4</xdr:row>
      <xdr:rowOff>9524</xdr:rowOff>
    </xdr:from>
    <xdr:to>
      <xdr:col>16</xdr:col>
      <xdr:colOff>390524</xdr:colOff>
      <xdr:row>8</xdr:row>
      <xdr:rowOff>95249</xdr:rowOff>
    </xdr:to>
    <xdr:pic>
      <xdr:nvPicPr>
        <xdr:cNvPr id="26" name="Graphic 25" descr="Bar chart with solid fill">
          <a:extLst>
            <a:ext uri="{FF2B5EF4-FFF2-40B4-BE49-F238E27FC236}">
              <a16:creationId xmlns:a16="http://schemas.microsoft.com/office/drawing/2014/main" id="{576C8841-6164-44E3-8787-6A90A6ED6AD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9324974" y="771524"/>
          <a:ext cx="847725" cy="84772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nir Hassan Usmani" refreshedDate="46014.558917129631" createdVersion="7" refreshedVersion="7" minRefreshableVersion="3" recordCount="30" xr:uid="{EEBC6A94-5080-4DB1-ABC9-F1993E794436}">
  <cacheSource type="worksheet">
    <worksheetSource name="Sales_Data"/>
  </cacheSource>
  <cacheFields count="7">
    <cacheField name="Date" numFmtId="14">
      <sharedItems containsSemiMixedTypes="0" containsNonDate="0" containsDate="1" containsString="0" minDate="2025-01-01T00:00:00" maxDate="2025-01-16T00:00:00" count="15">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sharedItems>
    </cacheField>
    <cacheField name="Region" numFmtId="0">
      <sharedItems count="3">
        <s v="Karachi"/>
        <s v="Lahore"/>
        <s v="Islamabad"/>
      </sharedItems>
    </cacheField>
    <cacheField name="Salesperson" numFmtId="0">
      <sharedItems count="4">
        <s v="Ali"/>
        <s v="Ahmed"/>
        <s v="Sara"/>
        <s v="Hamza"/>
      </sharedItems>
    </cacheField>
    <cacheField name="Product" numFmtId="0">
      <sharedItems count="3">
        <s v="Laptop"/>
        <s v="Mobile"/>
        <s v="Tablet"/>
      </sharedItems>
    </cacheField>
    <cacheField name="Quantity" numFmtId="0">
      <sharedItems containsSemiMixedTypes="0" containsString="0" containsNumber="1" containsInteger="1" minValue="1" maxValue="7"/>
    </cacheField>
    <cacheField name="Unit Price" numFmtId="0">
      <sharedItems containsSemiMixedTypes="0" containsString="0" containsNumber="1" containsInteger="1" minValue="30000" maxValue="85000"/>
    </cacheField>
    <cacheField name="Total Sales" numFmtId="0">
      <sharedItems containsSemiMixedTypes="0" containsString="0" containsNumber="1" containsInteger="1" minValue="60000" maxValue="315000"/>
    </cacheField>
  </cacheFields>
  <extLst>
    <ext xmlns:x14="http://schemas.microsoft.com/office/spreadsheetml/2009/9/main" uri="{725AE2AE-9491-48be-B2B4-4EB974FC3084}">
      <x14:pivotCacheDefinition pivotCacheId="21185838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x v="0"/>
    <x v="0"/>
    <n v="2"/>
    <n v="85000"/>
    <n v="170000"/>
  </r>
  <r>
    <x v="0"/>
    <x v="1"/>
    <x v="1"/>
    <x v="1"/>
    <n v="5"/>
    <n v="45000"/>
    <n v="225000"/>
  </r>
  <r>
    <x v="1"/>
    <x v="2"/>
    <x v="2"/>
    <x v="2"/>
    <n v="3"/>
    <n v="30000"/>
    <n v="90000"/>
  </r>
  <r>
    <x v="1"/>
    <x v="0"/>
    <x v="3"/>
    <x v="0"/>
    <n v="1"/>
    <n v="85000"/>
    <n v="85000"/>
  </r>
  <r>
    <x v="2"/>
    <x v="1"/>
    <x v="0"/>
    <x v="1"/>
    <n v="4"/>
    <n v="45000"/>
    <n v="180000"/>
  </r>
  <r>
    <x v="2"/>
    <x v="0"/>
    <x v="1"/>
    <x v="2"/>
    <n v="2"/>
    <n v="30000"/>
    <n v="60000"/>
  </r>
  <r>
    <x v="3"/>
    <x v="2"/>
    <x v="2"/>
    <x v="1"/>
    <n v="6"/>
    <n v="45000"/>
    <n v="270000"/>
  </r>
  <r>
    <x v="3"/>
    <x v="0"/>
    <x v="3"/>
    <x v="0"/>
    <n v="3"/>
    <n v="85000"/>
    <n v="255000"/>
  </r>
  <r>
    <x v="4"/>
    <x v="1"/>
    <x v="1"/>
    <x v="0"/>
    <n v="2"/>
    <n v="85000"/>
    <n v="170000"/>
  </r>
  <r>
    <x v="4"/>
    <x v="0"/>
    <x v="0"/>
    <x v="2"/>
    <n v="5"/>
    <n v="30000"/>
    <n v="150000"/>
  </r>
  <r>
    <x v="5"/>
    <x v="2"/>
    <x v="3"/>
    <x v="1"/>
    <n v="4"/>
    <n v="45000"/>
    <n v="180000"/>
  </r>
  <r>
    <x v="5"/>
    <x v="1"/>
    <x v="2"/>
    <x v="0"/>
    <n v="1"/>
    <n v="85000"/>
    <n v="85000"/>
  </r>
  <r>
    <x v="6"/>
    <x v="0"/>
    <x v="1"/>
    <x v="1"/>
    <n v="7"/>
    <n v="45000"/>
    <n v="315000"/>
  </r>
  <r>
    <x v="6"/>
    <x v="2"/>
    <x v="0"/>
    <x v="2"/>
    <n v="2"/>
    <n v="30000"/>
    <n v="60000"/>
  </r>
  <r>
    <x v="7"/>
    <x v="1"/>
    <x v="3"/>
    <x v="0"/>
    <n v="2"/>
    <n v="85000"/>
    <n v="170000"/>
  </r>
  <r>
    <x v="7"/>
    <x v="0"/>
    <x v="2"/>
    <x v="1"/>
    <n v="3"/>
    <n v="45000"/>
    <n v="135000"/>
  </r>
  <r>
    <x v="8"/>
    <x v="2"/>
    <x v="1"/>
    <x v="2"/>
    <n v="4"/>
    <n v="30000"/>
    <n v="120000"/>
  </r>
  <r>
    <x v="8"/>
    <x v="1"/>
    <x v="0"/>
    <x v="1"/>
    <n v="6"/>
    <n v="45000"/>
    <n v="270000"/>
  </r>
  <r>
    <x v="9"/>
    <x v="0"/>
    <x v="3"/>
    <x v="0"/>
    <n v="1"/>
    <n v="85000"/>
    <n v="85000"/>
  </r>
  <r>
    <x v="9"/>
    <x v="2"/>
    <x v="2"/>
    <x v="2"/>
    <n v="5"/>
    <n v="30000"/>
    <n v="150000"/>
  </r>
  <r>
    <x v="10"/>
    <x v="1"/>
    <x v="1"/>
    <x v="1"/>
    <n v="4"/>
    <n v="45000"/>
    <n v="180000"/>
  </r>
  <r>
    <x v="10"/>
    <x v="0"/>
    <x v="0"/>
    <x v="0"/>
    <n v="3"/>
    <n v="85000"/>
    <n v="255000"/>
  </r>
  <r>
    <x v="11"/>
    <x v="2"/>
    <x v="3"/>
    <x v="1"/>
    <n v="6"/>
    <n v="45000"/>
    <n v="270000"/>
  </r>
  <r>
    <x v="11"/>
    <x v="1"/>
    <x v="2"/>
    <x v="2"/>
    <n v="2"/>
    <n v="30000"/>
    <n v="60000"/>
  </r>
  <r>
    <x v="12"/>
    <x v="0"/>
    <x v="1"/>
    <x v="0"/>
    <n v="1"/>
    <n v="85000"/>
    <n v="85000"/>
  </r>
  <r>
    <x v="12"/>
    <x v="2"/>
    <x v="0"/>
    <x v="1"/>
    <n v="5"/>
    <n v="45000"/>
    <n v="225000"/>
  </r>
  <r>
    <x v="13"/>
    <x v="1"/>
    <x v="3"/>
    <x v="2"/>
    <n v="3"/>
    <n v="30000"/>
    <n v="90000"/>
  </r>
  <r>
    <x v="13"/>
    <x v="0"/>
    <x v="2"/>
    <x v="0"/>
    <n v="2"/>
    <n v="85000"/>
    <n v="170000"/>
  </r>
  <r>
    <x v="14"/>
    <x v="2"/>
    <x v="1"/>
    <x v="1"/>
    <n v="4"/>
    <n v="45000"/>
    <n v="180000"/>
  </r>
  <r>
    <x v="14"/>
    <x v="1"/>
    <x v="0"/>
    <x v="0"/>
    <n v="3"/>
    <n v="85000"/>
    <n v="255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E4DD77-7255-470B-B694-BD1C72B1ECB5}" name="Daily Sales Trend"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25:B41" firstHeaderRow="1" firstDataRow="1" firstDataCol="1"/>
  <pivotFields count="7">
    <pivotField axis="axisRow" numFmtId="14" showAll="0">
      <items count="16">
        <item x="0"/>
        <item x="1"/>
        <item x="2"/>
        <item x="3"/>
        <item x="4"/>
        <item x="5"/>
        <item x="6"/>
        <item x="7"/>
        <item x="8"/>
        <item x="9"/>
        <item x="10"/>
        <item x="11"/>
        <item x="12"/>
        <item x="13"/>
        <item x="14"/>
        <item t="default"/>
      </items>
    </pivotField>
    <pivotField showAll="0">
      <items count="4">
        <item x="2"/>
        <item x="0"/>
        <item x="1"/>
        <item t="default"/>
      </items>
    </pivotField>
    <pivotField showAll="0">
      <items count="5">
        <item x="1"/>
        <item x="0"/>
        <item x="3"/>
        <item x="2"/>
        <item t="default"/>
      </items>
    </pivotField>
    <pivotField showAll="0">
      <items count="4">
        <item x="0"/>
        <item x="1"/>
        <item x="2"/>
        <item t="default"/>
      </items>
    </pivotField>
    <pivotField showAll="0"/>
    <pivotField showAll="0"/>
    <pivotField dataField="1" showAll="0"/>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Sum of Total Sales" fld="6"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19E74C-5B6F-46E9-BC4A-31B9F061BB3A}" name="Product Wise Sales"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8:B22" firstHeaderRow="1" firstDataRow="1" firstDataCol="1"/>
  <pivotFields count="7">
    <pivotField numFmtId="14" showAll="0"/>
    <pivotField showAll="0">
      <items count="4">
        <item x="2"/>
        <item x="0"/>
        <item x="1"/>
        <item t="default"/>
      </items>
    </pivotField>
    <pivotField showAll="0">
      <items count="5">
        <item x="1"/>
        <item x="0"/>
        <item x="3"/>
        <item x="2"/>
        <item t="default"/>
      </items>
    </pivotField>
    <pivotField axis="axisRow" showAll="0">
      <items count="4">
        <item x="0"/>
        <item x="1"/>
        <item x="2"/>
        <item t="default"/>
      </items>
    </pivotField>
    <pivotField showAll="0"/>
    <pivotField showAll="0"/>
    <pivotField dataField="1" showAll="0"/>
  </pivotFields>
  <rowFields count="1">
    <field x="3"/>
  </rowFields>
  <rowItems count="4">
    <i>
      <x/>
    </i>
    <i>
      <x v="1"/>
    </i>
    <i>
      <x v="2"/>
    </i>
    <i t="grand">
      <x/>
    </i>
  </rowItems>
  <colItems count="1">
    <i/>
  </colItems>
  <dataFields count="1">
    <dataField name="Sum of Total Sales" fld="6" baseField="0" baseItem="0"/>
  </dataField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3" count="1" selected="0">
            <x v="0"/>
          </reference>
        </references>
      </pivotArea>
    </chartFormat>
    <chartFormat chart="2" format="7">
      <pivotArea type="data" outline="0" fieldPosition="0">
        <references count="2">
          <reference field="4294967294" count="1" selected="0">
            <x v="0"/>
          </reference>
          <reference field="3" count="1" selected="0">
            <x v="1"/>
          </reference>
        </references>
      </pivotArea>
    </chartFormat>
    <chartFormat chart="2"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E4DADE-85DD-4A68-BCB0-72023E7F2A84}" name="Salesperson Performance"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0:B15" firstHeaderRow="1" firstDataRow="1" firstDataCol="1"/>
  <pivotFields count="7">
    <pivotField numFmtId="14" showAll="0"/>
    <pivotField showAll="0">
      <items count="4">
        <item x="2"/>
        <item x="0"/>
        <item x="1"/>
        <item t="default"/>
      </items>
    </pivotField>
    <pivotField axis="axisRow" showAll="0">
      <items count="5">
        <item x="1"/>
        <item x="0"/>
        <item x="3"/>
        <item x="2"/>
        <item t="default"/>
      </items>
    </pivotField>
    <pivotField showAll="0"/>
    <pivotField showAll="0"/>
    <pivotField showAll="0"/>
    <pivotField dataField="1" showAll="0"/>
  </pivotFields>
  <rowFields count="1">
    <field x="2"/>
  </rowFields>
  <rowItems count="5">
    <i>
      <x/>
    </i>
    <i>
      <x v="1"/>
    </i>
    <i>
      <x v="2"/>
    </i>
    <i>
      <x v="3"/>
    </i>
    <i t="grand">
      <x/>
    </i>
  </rowItems>
  <colItems count="1">
    <i/>
  </colItems>
  <dataFields count="1">
    <dataField name="Sum of Total Sales"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CB3714-B22E-49A8-B333-080C86CC0C0A}" name="Region Wise Sales"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7" firstHeaderRow="1" firstDataRow="1" firstDataCol="1"/>
  <pivotFields count="7">
    <pivotField numFmtId="14" showAll="0"/>
    <pivotField axis="axisRow" showAll="0">
      <items count="4">
        <item x="2"/>
        <item x="0"/>
        <item x="1"/>
        <item t="default"/>
      </items>
    </pivotField>
    <pivotField showAll="0">
      <items count="5">
        <item x="1"/>
        <item x="0"/>
        <item x="3"/>
        <item x="2"/>
        <item t="default"/>
      </items>
    </pivotField>
    <pivotField showAll="0">
      <items count="4">
        <item x="0"/>
        <item x="1"/>
        <item x="2"/>
        <item t="default"/>
      </items>
    </pivotField>
    <pivotField showAll="0"/>
    <pivotField showAll="0"/>
    <pivotField dataField="1" showAll="0"/>
  </pivotFields>
  <rowFields count="1">
    <field x="1"/>
  </rowFields>
  <rowItems count="4">
    <i>
      <x/>
    </i>
    <i>
      <x v="1"/>
    </i>
    <i>
      <x v="2"/>
    </i>
    <i t="grand">
      <x/>
    </i>
  </rowItems>
  <colItems count="1">
    <i/>
  </colItems>
  <dataFields count="1">
    <dataField name="Sum of Total Sales"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D15DE57-D1BD-4E7C-9926-0E8CB3B064A0}" sourceName="Region">
  <pivotTables>
    <pivotTable tabId="2" name="Region Wise Sales"/>
  </pivotTables>
  <data>
    <tabular pivotCacheId="2118583877">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B87338CF-DB14-49C3-BA82-BDE6FAA117D2}" sourceName="Salesperson">
  <pivotTables>
    <pivotTable tabId="2" name="Region Wise Sales"/>
  </pivotTables>
  <data>
    <tabular pivotCacheId="2118583877">
      <items count="4">
        <i x="1"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5A2E372-8346-40AC-BE09-616BD43C0DDF}" sourceName="Product">
  <pivotTables>
    <pivotTable tabId="2" name="Region Wise Sales"/>
  </pivotTables>
  <data>
    <tabular pivotCacheId="211858387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EAAFADA-E568-48D4-B5B5-6C07C352E52B}" cache="Slicer_Region" caption="Region" style="SlicerStyleDark1" rowHeight="180000"/>
  <slicer name="Salesperson 1" xr10:uid="{EE08FCC3-1A7C-4405-BFEE-4887C755B92B}" cache="Slicer_Salesperson" caption="Salesperson" style="SlicerStyleDark6" rowHeight="432000"/>
  <slicer name="Product 1" xr10:uid="{67B805A3-C24B-4EDD-AAFF-311AEAAC83E9}" cache="Slicer_Product" caption="Product" style="SlicerStyleDark2" rowHeight="64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511048-6B75-41C1-94AD-18CAD7CAB126}" name="Sales_Data" displayName="Sales_Data" ref="A1:G31" totalsRowShown="0" headerRowDxfId="0" headerRowBorderDxfId="9" tableBorderDxfId="10" totalsRowBorderDxfId="8">
  <tableColumns count="7">
    <tableColumn id="1" xr3:uid="{3F6F5D04-321F-4441-AC02-785550490754}" name="Date" dataDxfId="7"/>
    <tableColumn id="2" xr3:uid="{4FFFB8D7-1400-4106-8977-EB5DA311FA79}" name="Region" dataDxfId="6"/>
    <tableColumn id="3" xr3:uid="{FED28F97-4359-426B-A9F4-CC59C814E425}" name="Salesperson" dataDxfId="5"/>
    <tableColumn id="4" xr3:uid="{15E26197-A984-4CF8-9646-D4E3523A2EB7}" name="Product" dataDxfId="4"/>
    <tableColumn id="5" xr3:uid="{6107C0C8-E819-4247-809E-DD445812DBAA}" name="Quantity" dataDxfId="3"/>
    <tableColumn id="6" xr3:uid="{7D65545D-03D5-43C9-AE24-EE23FD869842}" name="Unit Price" dataDxfId="2"/>
    <tableColumn id="7" xr3:uid="{4221B472-F86B-4611-BED6-52C6EAE2F154}" name="Total Sales" dataDxfId="1">
      <calculatedColumnFormula>E2*F2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12C8733-B93D-450F-B48B-9EF76AE95801}" name="Table3" displayName="Table3" ref="K16:L19" totalsRowShown="0">
  <autoFilter ref="K16:L19" xr:uid="{512C8733-B93D-450F-B48B-9EF76AE95801}"/>
  <tableColumns count="2">
    <tableColumn id="1" xr3:uid="{65076858-F84A-4153-B364-718EC9128532}" name="KPI"/>
    <tableColumn id="2" xr3:uid="{A7F50E8F-8EEE-4C18-BF16-58A8C6461359}" name="Valu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table" Target="../tables/table2.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1DFFA-0ABB-4BD5-AB3B-57407D20BA59}">
  <dimension ref="A1:G31"/>
  <sheetViews>
    <sheetView workbookViewId="0">
      <selection activeCell="G21" sqref="G21"/>
    </sheetView>
  </sheetViews>
  <sheetFormatPr defaultRowHeight="15" x14ac:dyDescent="0.25"/>
  <cols>
    <col min="1" max="1" width="10.7109375" bestFit="1" customWidth="1"/>
    <col min="2" max="2" width="10" bestFit="1" customWidth="1"/>
    <col min="3" max="3" width="13.85546875" customWidth="1"/>
    <col min="4" max="4" width="10" customWidth="1"/>
    <col min="5" max="5" width="10.85546875" customWidth="1"/>
    <col min="6" max="6" width="11.85546875" customWidth="1"/>
    <col min="7" max="7" width="12.5703125" customWidth="1"/>
  </cols>
  <sheetData>
    <row r="1" spans="1:7" x14ac:dyDescent="0.25">
      <c r="A1" s="1" t="s">
        <v>0</v>
      </c>
      <c r="B1" s="2" t="s">
        <v>1</v>
      </c>
      <c r="C1" s="2" t="s">
        <v>2</v>
      </c>
      <c r="D1" s="2" t="s">
        <v>3</v>
      </c>
      <c r="E1" s="2" t="s">
        <v>14</v>
      </c>
      <c r="F1" s="2" t="s">
        <v>15</v>
      </c>
      <c r="G1" s="3" t="s">
        <v>16</v>
      </c>
    </row>
    <row r="2" spans="1:7" x14ac:dyDescent="0.25">
      <c r="A2" s="4">
        <v>45658</v>
      </c>
      <c r="B2" s="5" t="s">
        <v>4</v>
      </c>
      <c r="C2" s="5" t="s">
        <v>5</v>
      </c>
      <c r="D2" s="5" t="s">
        <v>6</v>
      </c>
      <c r="E2" s="5">
        <v>2</v>
      </c>
      <c r="F2" s="5">
        <v>85000</v>
      </c>
      <c r="G2" s="6">
        <f>E2*F2</f>
        <v>170000</v>
      </c>
    </row>
    <row r="3" spans="1:7" x14ac:dyDescent="0.25">
      <c r="A3" s="4">
        <v>45658</v>
      </c>
      <c r="B3" s="5" t="s">
        <v>7</v>
      </c>
      <c r="C3" s="5" t="s">
        <v>8</v>
      </c>
      <c r="D3" s="5" t="s">
        <v>9</v>
      </c>
      <c r="E3" s="5">
        <v>5</v>
      </c>
      <c r="F3" s="5">
        <v>45000</v>
      </c>
      <c r="G3" s="6">
        <f t="shared" ref="G3:G31" si="0">E3*F3</f>
        <v>225000</v>
      </c>
    </row>
    <row r="4" spans="1:7" x14ac:dyDescent="0.25">
      <c r="A4" s="4">
        <v>45659</v>
      </c>
      <c r="B4" s="5" t="s">
        <v>12</v>
      </c>
      <c r="C4" s="5" t="s">
        <v>10</v>
      </c>
      <c r="D4" s="5" t="s">
        <v>11</v>
      </c>
      <c r="E4" s="5">
        <v>3</v>
      </c>
      <c r="F4" s="5">
        <v>30000</v>
      </c>
      <c r="G4" s="6">
        <f t="shared" si="0"/>
        <v>90000</v>
      </c>
    </row>
    <row r="5" spans="1:7" x14ac:dyDescent="0.25">
      <c r="A5" s="4">
        <v>45659</v>
      </c>
      <c r="B5" s="5" t="s">
        <v>4</v>
      </c>
      <c r="C5" s="5" t="s">
        <v>13</v>
      </c>
      <c r="D5" s="5" t="s">
        <v>6</v>
      </c>
      <c r="E5" s="5">
        <v>1</v>
      </c>
      <c r="F5" s="5">
        <v>85000</v>
      </c>
      <c r="G5" s="6">
        <f t="shared" si="0"/>
        <v>85000</v>
      </c>
    </row>
    <row r="6" spans="1:7" x14ac:dyDescent="0.25">
      <c r="A6" s="4">
        <v>45660</v>
      </c>
      <c r="B6" s="5" t="s">
        <v>7</v>
      </c>
      <c r="C6" s="5" t="s">
        <v>5</v>
      </c>
      <c r="D6" s="5" t="s">
        <v>9</v>
      </c>
      <c r="E6" s="5">
        <v>4</v>
      </c>
      <c r="F6" s="5">
        <v>45000</v>
      </c>
      <c r="G6" s="6">
        <f t="shared" si="0"/>
        <v>180000</v>
      </c>
    </row>
    <row r="7" spans="1:7" x14ac:dyDescent="0.25">
      <c r="A7" s="4">
        <v>45660</v>
      </c>
      <c r="B7" s="5" t="s">
        <v>4</v>
      </c>
      <c r="C7" s="5" t="s">
        <v>8</v>
      </c>
      <c r="D7" s="5" t="s">
        <v>11</v>
      </c>
      <c r="E7" s="5">
        <v>2</v>
      </c>
      <c r="F7" s="5">
        <v>30000</v>
      </c>
      <c r="G7" s="6">
        <f t="shared" si="0"/>
        <v>60000</v>
      </c>
    </row>
    <row r="8" spans="1:7" x14ac:dyDescent="0.25">
      <c r="A8" s="4">
        <v>45661</v>
      </c>
      <c r="B8" s="5" t="s">
        <v>12</v>
      </c>
      <c r="C8" s="5" t="s">
        <v>10</v>
      </c>
      <c r="D8" s="5" t="s">
        <v>9</v>
      </c>
      <c r="E8" s="5">
        <v>6</v>
      </c>
      <c r="F8" s="5">
        <v>45000</v>
      </c>
      <c r="G8" s="6">
        <f t="shared" si="0"/>
        <v>270000</v>
      </c>
    </row>
    <row r="9" spans="1:7" x14ac:dyDescent="0.25">
      <c r="A9" s="4">
        <v>45661</v>
      </c>
      <c r="B9" s="5" t="s">
        <v>4</v>
      </c>
      <c r="C9" s="5" t="s">
        <v>13</v>
      </c>
      <c r="D9" s="5" t="s">
        <v>6</v>
      </c>
      <c r="E9" s="5">
        <v>3</v>
      </c>
      <c r="F9" s="5">
        <v>85000</v>
      </c>
      <c r="G9" s="6">
        <f t="shared" si="0"/>
        <v>255000</v>
      </c>
    </row>
    <row r="10" spans="1:7" x14ac:dyDescent="0.25">
      <c r="A10" s="4">
        <v>45662</v>
      </c>
      <c r="B10" s="5" t="s">
        <v>7</v>
      </c>
      <c r="C10" s="5" t="s">
        <v>8</v>
      </c>
      <c r="D10" s="5" t="s">
        <v>6</v>
      </c>
      <c r="E10" s="5">
        <v>2</v>
      </c>
      <c r="F10" s="5">
        <v>85000</v>
      </c>
      <c r="G10" s="6">
        <f t="shared" si="0"/>
        <v>170000</v>
      </c>
    </row>
    <row r="11" spans="1:7" x14ac:dyDescent="0.25">
      <c r="A11" s="4">
        <v>45662</v>
      </c>
      <c r="B11" s="5" t="s">
        <v>4</v>
      </c>
      <c r="C11" s="5" t="s">
        <v>5</v>
      </c>
      <c r="D11" s="5" t="s">
        <v>11</v>
      </c>
      <c r="E11" s="5">
        <v>5</v>
      </c>
      <c r="F11" s="5">
        <v>30000</v>
      </c>
      <c r="G11" s="6">
        <f t="shared" si="0"/>
        <v>150000</v>
      </c>
    </row>
    <row r="12" spans="1:7" x14ac:dyDescent="0.25">
      <c r="A12" s="4">
        <v>45663</v>
      </c>
      <c r="B12" s="5" t="s">
        <v>12</v>
      </c>
      <c r="C12" s="5" t="s">
        <v>13</v>
      </c>
      <c r="D12" s="5" t="s">
        <v>9</v>
      </c>
      <c r="E12" s="5">
        <v>4</v>
      </c>
      <c r="F12" s="5">
        <v>45000</v>
      </c>
      <c r="G12" s="6">
        <f t="shared" si="0"/>
        <v>180000</v>
      </c>
    </row>
    <row r="13" spans="1:7" x14ac:dyDescent="0.25">
      <c r="A13" s="4">
        <v>45663</v>
      </c>
      <c r="B13" s="5" t="s">
        <v>7</v>
      </c>
      <c r="C13" s="5" t="s">
        <v>10</v>
      </c>
      <c r="D13" s="5" t="s">
        <v>6</v>
      </c>
      <c r="E13" s="5">
        <v>1</v>
      </c>
      <c r="F13" s="5">
        <v>85000</v>
      </c>
      <c r="G13" s="6">
        <f t="shared" si="0"/>
        <v>85000</v>
      </c>
    </row>
    <row r="14" spans="1:7" x14ac:dyDescent="0.25">
      <c r="A14" s="4">
        <v>45664</v>
      </c>
      <c r="B14" s="5" t="s">
        <v>4</v>
      </c>
      <c r="C14" s="5" t="s">
        <v>8</v>
      </c>
      <c r="D14" s="5" t="s">
        <v>9</v>
      </c>
      <c r="E14" s="5">
        <v>7</v>
      </c>
      <c r="F14" s="5">
        <v>45000</v>
      </c>
      <c r="G14" s="6">
        <f t="shared" si="0"/>
        <v>315000</v>
      </c>
    </row>
    <row r="15" spans="1:7" x14ac:dyDescent="0.25">
      <c r="A15" s="4">
        <v>45664</v>
      </c>
      <c r="B15" s="5" t="s">
        <v>12</v>
      </c>
      <c r="C15" s="5" t="s">
        <v>5</v>
      </c>
      <c r="D15" s="5" t="s">
        <v>11</v>
      </c>
      <c r="E15" s="5">
        <v>2</v>
      </c>
      <c r="F15" s="5">
        <v>30000</v>
      </c>
      <c r="G15" s="6">
        <f t="shared" si="0"/>
        <v>60000</v>
      </c>
    </row>
    <row r="16" spans="1:7" x14ac:dyDescent="0.25">
      <c r="A16" s="4">
        <v>45665</v>
      </c>
      <c r="B16" s="5" t="s">
        <v>7</v>
      </c>
      <c r="C16" s="5" t="s">
        <v>13</v>
      </c>
      <c r="D16" s="5" t="s">
        <v>6</v>
      </c>
      <c r="E16" s="5">
        <v>2</v>
      </c>
      <c r="F16" s="5">
        <v>85000</v>
      </c>
      <c r="G16" s="6">
        <f t="shared" si="0"/>
        <v>170000</v>
      </c>
    </row>
    <row r="17" spans="1:7" x14ac:dyDescent="0.25">
      <c r="A17" s="4">
        <v>45665</v>
      </c>
      <c r="B17" s="5" t="s">
        <v>4</v>
      </c>
      <c r="C17" s="5" t="s">
        <v>10</v>
      </c>
      <c r="D17" s="5" t="s">
        <v>9</v>
      </c>
      <c r="E17" s="5">
        <v>3</v>
      </c>
      <c r="F17" s="5">
        <v>45000</v>
      </c>
      <c r="G17" s="6">
        <f t="shared" si="0"/>
        <v>135000</v>
      </c>
    </row>
    <row r="18" spans="1:7" x14ac:dyDescent="0.25">
      <c r="A18" s="4">
        <v>45666</v>
      </c>
      <c r="B18" s="5" t="s">
        <v>12</v>
      </c>
      <c r="C18" s="5" t="s">
        <v>8</v>
      </c>
      <c r="D18" s="5" t="s">
        <v>11</v>
      </c>
      <c r="E18" s="5">
        <v>4</v>
      </c>
      <c r="F18" s="5">
        <v>30000</v>
      </c>
      <c r="G18" s="6">
        <f t="shared" si="0"/>
        <v>120000</v>
      </c>
    </row>
    <row r="19" spans="1:7" x14ac:dyDescent="0.25">
      <c r="A19" s="4">
        <v>45666</v>
      </c>
      <c r="B19" s="5" t="s">
        <v>7</v>
      </c>
      <c r="C19" s="5" t="s">
        <v>5</v>
      </c>
      <c r="D19" s="5" t="s">
        <v>9</v>
      </c>
      <c r="E19" s="5">
        <v>6</v>
      </c>
      <c r="F19" s="5">
        <v>45000</v>
      </c>
      <c r="G19" s="6">
        <f t="shared" si="0"/>
        <v>270000</v>
      </c>
    </row>
    <row r="20" spans="1:7" x14ac:dyDescent="0.25">
      <c r="A20" s="4">
        <v>45667</v>
      </c>
      <c r="B20" s="5" t="s">
        <v>4</v>
      </c>
      <c r="C20" s="5" t="s">
        <v>13</v>
      </c>
      <c r="D20" s="5" t="s">
        <v>6</v>
      </c>
      <c r="E20" s="5">
        <v>1</v>
      </c>
      <c r="F20" s="5">
        <v>85000</v>
      </c>
      <c r="G20" s="6">
        <f t="shared" si="0"/>
        <v>85000</v>
      </c>
    </row>
    <row r="21" spans="1:7" x14ac:dyDescent="0.25">
      <c r="A21" s="4">
        <v>45667</v>
      </c>
      <c r="B21" s="5" t="s">
        <v>12</v>
      </c>
      <c r="C21" s="5" t="s">
        <v>10</v>
      </c>
      <c r="D21" s="5" t="s">
        <v>11</v>
      </c>
      <c r="E21" s="5">
        <v>5</v>
      </c>
      <c r="F21" s="5">
        <v>30000</v>
      </c>
      <c r="G21" s="6">
        <f t="shared" si="0"/>
        <v>150000</v>
      </c>
    </row>
    <row r="22" spans="1:7" x14ac:dyDescent="0.25">
      <c r="A22" s="4">
        <v>45668</v>
      </c>
      <c r="B22" s="5" t="s">
        <v>7</v>
      </c>
      <c r="C22" s="5" t="s">
        <v>8</v>
      </c>
      <c r="D22" s="5" t="s">
        <v>9</v>
      </c>
      <c r="E22" s="5">
        <v>4</v>
      </c>
      <c r="F22" s="5">
        <v>45000</v>
      </c>
      <c r="G22" s="6">
        <f t="shared" si="0"/>
        <v>180000</v>
      </c>
    </row>
    <row r="23" spans="1:7" x14ac:dyDescent="0.25">
      <c r="A23" s="4">
        <v>45668</v>
      </c>
      <c r="B23" s="5" t="s">
        <v>4</v>
      </c>
      <c r="C23" s="5" t="s">
        <v>5</v>
      </c>
      <c r="D23" s="5" t="s">
        <v>6</v>
      </c>
      <c r="E23" s="5">
        <v>3</v>
      </c>
      <c r="F23" s="5">
        <v>85000</v>
      </c>
      <c r="G23" s="6">
        <f t="shared" si="0"/>
        <v>255000</v>
      </c>
    </row>
    <row r="24" spans="1:7" x14ac:dyDescent="0.25">
      <c r="A24" s="4">
        <v>45669</v>
      </c>
      <c r="B24" s="5" t="s">
        <v>12</v>
      </c>
      <c r="C24" s="5" t="s">
        <v>13</v>
      </c>
      <c r="D24" s="5" t="s">
        <v>9</v>
      </c>
      <c r="E24" s="5">
        <v>6</v>
      </c>
      <c r="F24" s="5">
        <v>45000</v>
      </c>
      <c r="G24" s="6">
        <f t="shared" si="0"/>
        <v>270000</v>
      </c>
    </row>
    <row r="25" spans="1:7" x14ac:dyDescent="0.25">
      <c r="A25" s="4">
        <v>45669</v>
      </c>
      <c r="B25" s="5" t="s">
        <v>7</v>
      </c>
      <c r="C25" s="5" t="s">
        <v>10</v>
      </c>
      <c r="D25" s="5" t="s">
        <v>11</v>
      </c>
      <c r="E25" s="5">
        <v>2</v>
      </c>
      <c r="F25" s="5">
        <v>30000</v>
      </c>
      <c r="G25" s="6">
        <f t="shared" si="0"/>
        <v>60000</v>
      </c>
    </row>
    <row r="26" spans="1:7" x14ac:dyDescent="0.25">
      <c r="A26" s="4">
        <v>45670</v>
      </c>
      <c r="B26" s="5" t="s">
        <v>4</v>
      </c>
      <c r="C26" s="5" t="s">
        <v>8</v>
      </c>
      <c r="D26" s="5" t="s">
        <v>6</v>
      </c>
      <c r="E26" s="5">
        <v>1</v>
      </c>
      <c r="F26" s="5">
        <v>85000</v>
      </c>
      <c r="G26" s="6">
        <f t="shared" si="0"/>
        <v>85000</v>
      </c>
    </row>
    <row r="27" spans="1:7" x14ac:dyDescent="0.25">
      <c r="A27" s="4">
        <v>45670</v>
      </c>
      <c r="B27" s="5" t="s">
        <v>12</v>
      </c>
      <c r="C27" s="5" t="s">
        <v>5</v>
      </c>
      <c r="D27" s="5" t="s">
        <v>9</v>
      </c>
      <c r="E27" s="5">
        <v>5</v>
      </c>
      <c r="F27" s="5">
        <v>45000</v>
      </c>
      <c r="G27" s="6">
        <f t="shared" si="0"/>
        <v>225000</v>
      </c>
    </row>
    <row r="28" spans="1:7" x14ac:dyDescent="0.25">
      <c r="A28" s="4">
        <v>45671</v>
      </c>
      <c r="B28" s="5" t="s">
        <v>7</v>
      </c>
      <c r="C28" s="5" t="s">
        <v>13</v>
      </c>
      <c r="D28" s="5" t="s">
        <v>11</v>
      </c>
      <c r="E28" s="5">
        <v>3</v>
      </c>
      <c r="F28" s="5">
        <v>30000</v>
      </c>
      <c r="G28" s="6">
        <f t="shared" si="0"/>
        <v>90000</v>
      </c>
    </row>
    <row r="29" spans="1:7" x14ac:dyDescent="0.25">
      <c r="A29" s="4">
        <v>45671</v>
      </c>
      <c r="B29" s="5" t="s">
        <v>4</v>
      </c>
      <c r="C29" s="5" t="s">
        <v>10</v>
      </c>
      <c r="D29" s="5" t="s">
        <v>6</v>
      </c>
      <c r="E29" s="5">
        <v>2</v>
      </c>
      <c r="F29" s="5">
        <v>85000</v>
      </c>
      <c r="G29" s="6">
        <f t="shared" si="0"/>
        <v>170000</v>
      </c>
    </row>
    <row r="30" spans="1:7" x14ac:dyDescent="0.25">
      <c r="A30" s="4">
        <v>45672</v>
      </c>
      <c r="B30" s="5" t="s">
        <v>12</v>
      </c>
      <c r="C30" s="5" t="s">
        <v>8</v>
      </c>
      <c r="D30" s="5" t="s">
        <v>9</v>
      </c>
      <c r="E30" s="5">
        <v>4</v>
      </c>
      <c r="F30" s="5">
        <v>45000</v>
      </c>
      <c r="G30" s="6">
        <f t="shared" si="0"/>
        <v>180000</v>
      </c>
    </row>
    <row r="31" spans="1:7" x14ac:dyDescent="0.25">
      <c r="A31" s="7">
        <v>45672</v>
      </c>
      <c r="B31" s="8" t="s">
        <v>7</v>
      </c>
      <c r="C31" s="8" t="s">
        <v>5</v>
      </c>
      <c r="D31" s="8" t="s">
        <v>6</v>
      </c>
      <c r="E31" s="8">
        <v>3</v>
      </c>
      <c r="F31" s="8">
        <v>85000</v>
      </c>
      <c r="G31" s="9">
        <f t="shared" si="0"/>
        <v>255000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A763F-7CA0-4F3A-BB91-F225F38B5B44}">
  <dimension ref="A1:L41"/>
  <sheetViews>
    <sheetView tabSelected="1" topLeftCell="A2" workbookViewId="0">
      <selection activeCell="K25" sqref="K25"/>
    </sheetView>
  </sheetViews>
  <sheetFormatPr defaultRowHeight="15" x14ac:dyDescent="0.25"/>
  <cols>
    <col min="1" max="1" width="13.140625" bestFit="1" customWidth="1"/>
    <col min="2" max="2" width="17.28515625" bestFit="1" customWidth="1"/>
    <col min="11" max="11" width="13.7109375" bestFit="1" customWidth="1"/>
    <col min="12" max="12" width="15.28515625" customWidth="1"/>
    <col min="13" max="13" width="11" customWidth="1"/>
  </cols>
  <sheetData>
    <row r="1" spans="1:12" x14ac:dyDescent="0.25">
      <c r="A1" s="13" t="s">
        <v>20</v>
      </c>
      <c r="B1" s="13"/>
    </row>
    <row r="2" spans="1:12" x14ac:dyDescent="0.25">
      <c r="A2" s="13"/>
      <c r="B2" s="13"/>
    </row>
    <row r="3" spans="1:12" x14ac:dyDescent="0.25">
      <c r="A3" s="10" t="s">
        <v>17</v>
      </c>
      <c r="B3" t="s">
        <v>19</v>
      </c>
    </row>
    <row r="4" spans="1:12" x14ac:dyDescent="0.25">
      <c r="A4" s="11" t="s">
        <v>12</v>
      </c>
      <c r="B4" s="12">
        <v>1545000</v>
      </c>
    </row>
    <row r="5" spans="1:12" x14ac:dyDescent="0.25">
      <c r="A5" s="11" t="s">
        <v>4</v>
      </c>
      <c r="B5" s="12">
        <v>1765000</v>
      </c>
    </row>
    <row r="6" spans="1:12" x14ac:dyDescent="0.25">
      <c r="A6" s="11" t="s">
        <v>7</v>
      </c>
      <c r="B6" s="12">
        <v>1685000</v>
      </c>
    </row>
    <row r="7" spans="1:12" x14ac:dyDescent="0.25">
      <c r="A7" s="11" t="s">
        <v>18</v>
      </c>
      <c r="B7" s="12">
        <v>4995000</v>
      </c>
    </row>
    <row r="8" spans="1:12" x14ac:dyDescent="0.25">
      <c r="A8" s="14" t="s">
        <v>21</v>
      </c>
      <c r="B8" s="14"/>
    </row>
    <row r="9" spans="1:12" x14ac:dyDescent="0.25">
      <c r="A9" s="14"/>
      <c r="B9" s="14"/>
    </row>
    <row r="10" spans="1:12" x14ac:dyDescent="0.25">
      <c r="A10" s="10" t="s">
        <v>17</v>
      </c>
      <c r="B10" t="s">
        <v>19</v>
      </c>
    </row>
    <row r="11" spans="1:12" x14ac:dyDescent="0.25">
      <c r="A11" s="11" t="s">
        <v>8</v>
      </c>
      <c r="B11" s="12">
        <v>1335000</v>
      </c>
    </row>
    <row r="12" spans="1:12" x14ac:dyDescent="0.25">
      <c r="A12" s="11" t="s">
        <v>5</v>
      </c>
      <c r="B12" s="12">
        <v>1565000</v>
      </c>
    </row>
    <row r="13" spans="1:12" x14ac:dyDescent="0.25">
      <c r="A13" s="11" t="s">
        <v>13</v>
      </c>
      <c r="B13" s="12">
        <v>1135000</v>
      </c>
    </row>
    <row r="14" spans="1:12" x14ac:dyDescent="0.25">
      <c r="A14" s="11" t="s">
        <v>10</v>
      </c>
      <c r="B14" s="12">
        <v>960000</v>
      </c>
    </row>
    <row r="15" spans="1:12" x14ac:dyDescent="0.25">
      <c r="A15" s="11" t="s">
        <v>18</v>
      </c>
      <c r="B15" s="12">
        <v>4995000</v>
      </c>
    </row>
    <row r="16" spans="1:12" x14ac:dyDescent="0.25">
      <c r="A16" s="15" t="s">
        <v>22</v>
      </c>
      <c r="B16" s="15"/>
      <c r="K16" t="s">
        <v>26</v>
      </c>
      <c r="L16" t="s">
        <v>27</v>
      </c>
    </row>
    <row r="17" spans="1:12" x14ac:dyDescent="0.25">
      <c r="A17" s="15"/>
      <c r="B17" s="15"/>
      <c r="K17" t="s">
        <v>16</v>
      </c>
      <c r="L17">
        <f>SUM(Sales_Data[Total Sales])</f>
        <v>4995000</v>
      </c>
    </row>
    <row r="18" spans="1:12" x14ac:dyDescent="0.25">
      <c r="A18" s="10" t="s">
        <v>17</v>
      </c>
      <c r="B18" t="s">
        <v>19</v>
      </c>
      <c r="K18" t="s">
        <v>24</v>
      </c>
      <c r="L18">
        <f>SUM(Sales_Data[Quantity])</f>
        <v>101</v>
      </c>
    </row>
    <row r="19" spans="1:12" x14ac:dyDescent="0.25">
      <c r="A19" s="11" t="s">
        <v>6</v>
      </c>
      <c r="B19" s="12">
        <v>1785000</v>
      </c>
      <c r="K19" t="s">
        <v>25</v>
      </c>
      <c r="L19">
        <f>AVERAGE(Sales_Data[Total Sales])</f>
        <v>166500</v>
      </c>
    </row>
    <row r="20" spans="1:12" x14ac:dyDescent="0.25">
      <c r="A20" s="11" t="s">
        <v>9</v>
      </c>
      <c r="B20" s="12">
        <v>2430000</v>
      </c>
    </row>
    <row r="21" spans="1:12" x14ac:dyDescent="0.25">
      <c r="A21" s="11" t="s">
        <v>11</v>
      </c>
      <c r="B21" s="12">
        <v>780000</v>
      </c>
    </row>
    <row r="22" spans="1:12" x14ac:dyDescent="0.25">
      <c r="A22" s="11" t="s">
        <v>18</v>
      </c>
      <c r="B22" s="12">
        <v>4995000</v>
      </c>
    </row>
    <row r="23" spans="1:12" x14ac:dyDescent="0.25">
      <c r="A23" s="16" t="s">
        <v>23</v>
      </c>
      <c r="B23" s="16"/>
    </row>
    <row r="24" spans="1:12" x14ac:dyDescent="0.25">
      <c r="A24" s="16"/>
      <c r="B24" s="16"/>
    </row>
    <row r="25" spans="1:12" x14ac:dyDescent="0.25">
      <c r="A25" s="10" t="s">
        <v>17</v>
      </c>
      <c r="B25" t="s">
        <v>19</v>
      </c>
    </row>
    <row r="26" spans="1:12" x14ac:dyDescent="0.25">
      <c r="A26" s="17">
        <v>45658</v>
      </c>
      <c r="B26" s="12">
        <v>395000</v>
      </c>
    </row>
    <row r="27" spans="1:12" x14ac:dyDescent="0.25">
      <c r="A27" s="17">
        <v>45659</v>
      </c>
      <c r="B27" s="12">
        <v>175000</v>
      </c>
    </row>
    <row r="28" spans="1:12" x14ac:dyDescent="0.25">
      <c r="A28" s="17">
        <v>45660</v>
      </c>
      <c r="B28" s="12">
        <v>240000</v>
      </c>
    </row>
    <row r="29" spans="1:12" x14ac:dyDescent="0.25">
      <c r="A29" s="17">
        <v>45661</v>
      </c>
      <c r="B29" s="12">
        <v>525000</v>
      </c>
    </row>
    <row r="30" spans="1:12" x14ac:dyDescent="0.25">
      <c r="A30" s="17">
        <v>45662</v>
      </c>
      <c r="B30" s="12">
        <v>320000</v>
      </c>
    </row>
    <row r="31" spans="1:12" x14ac:dyDescent="0.25">
      <c r="A31" s="17">
        <v>45663</v>
      </c>
      <c r="B31" s="12">
        <v>265000</v>
      </c>
    </row>
    <row r="32" spans="1:12" x14ac:dyDescent="0.25">
      <c r="A32" s="17">
        <v>45664</v>
      </c>
      <c r="B32" s="12">
        <v>375000</v>
      </c>
    </row>
    <row r="33" spans="1:2" x14ac:dyDescent="0.25">
      <c r="A33" s="17">
        <v>45665</v>
      </c>
      <c r="B33" s="12">
        <v>305000</v>
      </c>
    </row>
    <row r="34" spans="1:2" x14ac:dyDescent="0.25">
      <c r="A34" s="17">
        <v>45666</v>
      </c>
      <c r="B34" s="12">
        <v>390000</v>
      </c>
    </row>
    <row r="35" spans="1:2" x14ac:dyDescent="0.25">
      <c r="A35" s="17">
        <v>45667</v>
      </c>
      <c r="B35" s="12">
        <v>235000</v>
      </c>
    </row>
    <row r="36" spans="1:2" x14ac:dyDescent="0.25">
      <c r="A36" s="17">
        <v>45668</v>
      </c>
      <c r="B36" s="12">
        <v>435000</v>
      </c>
    </row>
    <row r="37" spans="1:2" x14ac:dyDescent="0.25">
      <c r="A37" s="17">
        <v>45669</v>
      </c>
      <c r="B37" s="12">
        <v>330000</v>
      </c>
    </row>
    <row r="38" spans="1:2" x14ac:dyDescent="0.25">
      <c r="A38" s="17">
        <v>45670</v>
      </c>
      <c r="B38" s="12">
        <v>310000</v>
      </c>
    </row>
    <row r="39" spans="1:2" x14ac:dyDescent="0.25">
      <c r="A39" s="17">
        <v>45671</v>
      </c>
      <c r="B39" s="12">
        <v>260000</v>
      </c>
    </row>
    <row r="40" spans="1:2" x14ac:dyDescent="0.25">
      <c r="A40" s="17">
        <v>45672</v>
      </c>
      <c r="B40" s="12">
        <v>435000</v>
      </c>
    </row>
    <row r="41" spans="1:2" x14ac:dyDescent="0.25">
      <c r="A41" s="17" t="s">
        <v>18</v>
      </c>
      <c r="B41" s="12">
        <v>4995000</v>
      </c>
    </row>
  </sheetData>
  <mergeCells count="4">
    <mergeCell ref="A1:B2"/>
    <mergeCell ref="A8:B9"/>
    <mergeCell ref="A16:B17"/>
    <mergeCell ref="A23:B24"/>
  </mergeCells>
  <pageMargins left="0.7" right="0.7" top="0.75" bottom="0.75" header="0.3" footer="0.3"/>
  <tableParts count="1">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2B089-6248-4FA0-A465-1811C4DF3D6F}">
  <dimension ref="E1:AJ6"/>
  <sheetViews>
    <sheetView showGridLines="0" topLeftCell="C1" workbookViewId="0">
      <selection activeCell="C12" sqref="C12"/>
    </sheetView>
  </sheetViews>
  <sheetFormatPr defaultRowHeight="15" x14ac:dyDescent="0.25"/>
  <cols>
    <col min="1" max="1" width="9.5703125" bestFit="1" customWidth="1"/>
  </cols>
  <sheetData>
    <row r="1" spans="5:36" ht="15" customHeight="1" x14ac:dyDescent="0.25">
      <c r="E1" s="18"/>
      <c r="F1" s="18"/>
      <c r="G1" s="18"/>
      <c r="H1" s="18"/>
      <c r="I1" s="18"/>
      <c r="J1" s="18"/>
      <c r="K1" s="18"/>
      <c r="L1" s="18"/>
      <c r="M1" s="18"/>
      <c r="N1" s="18"/>
      <c r="O1" s="18"/>
      <c r="P1" s="18"/>
      <c r="Q1" s="18"/>
      <c r="R1" s="18"/>
      <c r="S1" s="18"/>
      <c r="T1" s="18"/>
      <c r="U1" s="18"/>
      <c r="V1" s="18"/>
      <c r="W1" s="18"/>
      <c r="X1" s="18"/>
      <c r="Y1" s="18"/>
      <c r="Z1" s="19"/>
      <c r="AA1" s="19"/>
      <c r="AB1" s="19"/>
      <c r="AC1" s="19"/>
      <c r="AD1" s="19"/>
      <c r="AE1" s="19"/>
      <c r="AF1" s="19"/>
      <c r="AG1" s="19"/>
      <c r="AH1" s="19"/>
      <c r="AI1" s="19"/>
      <c r="AJ1" s="19"/>
    </row>
    <row r="2" spans="5:36" ht="15" customHeight="1" x14ac:dyDescent="0.25">
      <c r="E2" s="18"/>
      <c r="F2" s="18"/>
      <c r="G2" s="18"/>
      <c r="H2" s="18"/>
      <c r="I2" s="18"/>
      <c r="J2" s="18"/>
      <c r="K2" s="18"/>
      <c r="L2" s="18"/>
      <c r="M2" s="18"/>
      <c r="N2" s="18"/>
      <c r="O2" s="18"/>
      <c r="P2" s="18"/>
      <c r="Q2" s="18"/>
      <c r="R2" s="18"/>
      <c r="S2" s="18"/>
      <c r="T2" s="18"/>
      <c r="U2" s="18"/>
      <c r="V2" s="18"/>
      <c r="W2" s="18"/>
      <c r="X2" s="18"/>
      <c r="Y2" s="18"/>
      <c r="Z2" s="19"/>
      <c r="AA2" s="19"/>
      <c r="AB2" s="19"/>
      <c r="AC2" s="19"/>
      <c r="AD2" s="19"/>
      <c r="AE2" s="19"/>
      <c r="AF2" s="19"/>
      <c r="AG2" s="19"/>
      <c r="AH2" s="19"/>
      <c r="AI2" s="19"/>
      <c r="AJ2" s="19"/>
    </row>
    <row r="3" spans="5:36" ht="15" customHeight="1" x14ac:dyDescent="0.25">
      <c r="E3" s="18"/>
      <c r="F3" s="18"/>
      <c r="G3" s="18"/>
      <c r="H3" s="18"/>
      <c r="I3" s="18"/>
      <c r="J3" s="18"/>
      <c r="K3" s="18"/>
      <c r="L3" s="18"/>
      <c r="M3" s="18"/>
      <c r="N3" s="18"/>
      <c r="O3" s="18"/>
      <c r="P3" s="18"/>
      <c r="Q3" s="18"/>
      <c r="R3" s="18"/>
      <c r="S3" s="18"/>
      <c r="T3" s="18"/>
      <c r="U3" s="18"/>
      <c r="V3" s="18"/>
      <c r="W3" s="18"/>
      <c r="X3" s="18"/>
      <c r="Y3" s="18"/>
      <c r="Z3" s="19"/>
      <c r="AA3" s="19"/>
      <c r="AB3" s="19"/>
      <c r="AC3" s="19"/>
      <c r="AD3" s="19"/>
      <c r="AE3" s="19"/>
      <c r="AF3" s="19"/>
      <c r="AG3" s="19"/>
      <c r="AH3" s="19"/>
      <c r="AI3" s="19"/>
      <c r="AJ3" s="19"/>
    </row>
    <row r="4" spans="5:36" ht="15" customHeight="1" x14ac:dyDescent="0.25"/>
    <row r="5" spans="5:36" ht="15" customHeight="1" x14ac:dyDescent="0.25"/>
    <row r="6" spans="5:36" ht="15" customHeight="1" x14ac:dyDescent="0.25"/>
  </sheetData>
  <mergeCells count="1">
    <mergeCell ref="E1:Y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Pivot_Analysis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Munir Hassan Usmani</dc:creator>
  <cp:lastModifiedBy>Munir Hassan Usmani</cp:lastModifiedBy>
  <dcterms:created xsi:type="dcterms:W3CDTF">2025-12-23T07:56:25Z</dcterms:created>
  <dcterms:modified xsi:type="dcterms:W3CDTF">2025-12-23T11:30:03Z</dcterms:modified>
</cp:coreProperties>
</file>